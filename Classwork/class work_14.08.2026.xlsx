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3476EB1-6739-49F9-8132-15ADE6C6BCC2}" xr6:coauthVersionLast="47" xr6:coauthVersionMax="47" xr10:uidLastSave="{00000000-0000-0000-0000-000000000000}"/>
  <bookViews>
    <workbookView xWindow="-96" yWindow="0" windowWidth="11712" windowHeight="12336" xr2:uid="{B275022F-1C1C-4C40-87FB-494BA723265E}"/>
  </bookViews>
  <sheets>
    <sheet name="XLOOKUP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8" i="1" l="1" a="1"/>
  <c r="M44" i="1" a="1"/>
  <c r="M40" i="1" a="1"/>
  <c r="M28" i="1" a="1"/>
  <c r="M23" i="1" a="1"/>
  <c r="M24" i="1" a="1"/>
  <c r="M22" i="1" a="1"/>
  <c r="M17" i="1" a="1"/>
  <c r="M13" i="1"/>
  <c r="M9" i="1"/>
  <c r="M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<sst xmlns="http://schemas.openxmlformats.org/spreadsheetml/2006/main" count="4086" uniqueCount="56">
  <si>
    <t>Order ID</t>
  </si>
  <si>
    <t>Customer ID</t>
  </si>
  <si>
    <t>Order Date</t>
  </si>
  <si>
    <t>City</t>
  </si>
  <si>
    <t>Payment Method</t>
  </si>
  <si>
    <t>Product Name</t>
  </si>
  <si>
    <t>Brand</t>
  </si>
  <si>
    <t>Units Sold</t>
  </si>
  <si>
    <t>Unit Price</t>
  </si>
  <si>
    <t>Net Sales</t>
  </si>
  <si>
    <t>Chennai</t>
  </si>
  <si>
    <t>Delhi</t>
  </si>
  <si>
    <t>Credit Card</t>
  </si>
  <si>
    <t>Mixer Grinder</t>
  </si>
  <si>
    <t>BrandA</t>
  </si>
  <si>
    <t>Pune</t>
  </si>
  <si>
    <t>Debit Card</t>
  </si>
  <si>
    <t>Football</t>
  </si>
  <si>
    <t>BrandD</t>
  </si>
  <si>
    <t>Sneakers</t>
  </si>
  <si>
    <t>BrandE</t>
  </si>
  <si>
    <t>Bengaluru</t>
  </si>
  <si>
    <t>Cash on Delivery</t>
  </si>
  <si>
    <t>Yoga Mat</t>
  </si>
  <si>
    <t>Kolkata</t>
  </si>
  <si>
    <t>Jacket</t>
  </si>
  <si>
    <t>Hyderabad</t>
  </si>
  <si>
    <t>Net Banking</t>
  </si>
  <si>
    <t>Bedsheet</t>
  </si>
  <si>
    <t>UPI</t>
  </si>
  <si>
    <t>BrandC</t>
  </si>
  <si>
    <t>Mumbai</t>
  </si>
  <si>
    <t>BrandB</t>
  </si>
  <si>
    <t>T-Shirt</t>
  </si>
  <si>
    <t>Headphones</t>
  </si>
  <si>
    <t>Smartwatch</t>
  </si>
  <si>
    <t>Shampoo</t>
  </si>
  <si>
    <t>Curtains</t>
  </si>
  <si>
    <t>Lipstick</t>
  </si>
  <si>
    <t>Fiction Novel</t>
  </si>
  <si>
    <t>Comics</t>
  </si>
  <si>
    <t>Perfume</t>
  </si>
  <si>
    <t>Cricket Bat</t>
  </si>
  <si>
    <t>Textbook</t>
  </si>
  <si>
    <t>Laptop</t>
  </si>
  <si>
    <t>Face Cream</t>
  </si>
  <si>
    <t>Jeans</t>
  </si>
  <si>
    <t>Cookware Set</t>
  </si>
  <si>
    <t>Biography</t>
  </si>
  <si>
    <t>Smartphone</t>
  </si>
  <si>
    <t>Dumbbells</t>
  </si>
  <si>
    <t>1.Find the net sales from the order id</t>
  </si>
  <si>
    <t>2.Find the city from the customer id</t>
  </si>
  <si>
    <t>7. FIND THE PAYMENT METHOD AND NET SALES USING CHOOSE FUNCTION</t>
  </si>
  <si>
    <t>6. FIND THE ALL DATA TABLE VALUE USING TRANSPOSE FUNCTION</t>
  </si>
  <si>
    <t xml:space="preserve">5. FIND THE ALL DATA INTO A DIFFERENT ORDER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</si>
</sst>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1" fillId="0" borderId="0" xfId="0" applyFont="1"/>
    <xf numFmtId="14" fontId="0" fillId="0" borderId="1" xfId="1" applyNumberFormat="1" applyFont="1" applyBorder="1"/>
    <xf numFmtId="0" fontId="1" fillId="0" borderId="2" xfId="0" applyFont="1" applyBorder="1"/>
    <xf numFmtId="0" fontId="1" fillId="0" borderId="3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9DDA5-D851-4DB9-BB36-468389EC9CC8}">
  <dimension ref="A1:U501"/>
  <sheetViews>
    <sheetView tabSelected="1" zoomScale="74" workbookViewId="0">
      <selection activeCell="L52" sqref="L52"/>
    </sheetView>
  </sheetViews>
  <sheetFormatPr defaultRowHeight="14.4" x14ac:dyDescent="0.3"/>
  <cols>
    <col min="1" max="1" width="7.88671875" bestFit="1" customWidth="1"/>
    <col min="2" max="2" width="11.109375" bestFit="1" customWidth="1"/>
    <col min="3" max="4" width="10.33203125" bestFit="1" customWidth="1"/>
    <col min="5" max="5" width="15.88671875" bestFit="1" customWidth="1"/>
    <col min="6" max="6" width="13.21875" bestFit="1" customWidth="1"/>
    <col min="7" max="7" width="12.109375" bestFit="1" customWidth="1"/>
    <col min="8" max="8" width="15.109375" bestFit="1" customWidth="1"/>
    <col min="9" max="9" width="15.21875" bestFit="1" customWidth="1"/>
    <col min="10" max="10" width="12.6640625" bestFit="1" customWidth="1"/>
    <col min="11" max="11" width="7" bestFit="1" customWidth="1"/>
    <col min="12" max="12" width="32.33203125" bestFit="1" customWidth="1"/>
    <col min="13" max="14" width="16.6640625" bestFit="1" customWidth="1"/>
    <col min="15" max="15" width="13.77734375" bestFit="1" customWidth="1"/>
    <col min="16" max="16" width="16.6640625" bestFit="1" customWidth="1"/>
    <col min="17" max="17" width="13.77734375" bestFit="1" customWidth="1"/>
    <col min="18" max="18" width="9.44140625" bestFit="1" customWidth="1"/>
    <col min="19" max="19" width="10" bestFit="1" customWidth="1"/>
    <col min="20" max="20" width="9.44140625" bestFit="1" customWidth="1"/>
  </cols>
  <sheetData>
    <row r="1" spans="1:2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21" x14ac:dyDescent="0.3">
      <c r="A2" s="1">
        <v>10001</v>
      </c>
      <c r="B2" s="1">
        <v>1102</v>
      </c>
      <c r="C2" s="2">
        <v>45197</v>
      </c>
      <c r="D2" s="1" t="s">
        <v>10</v>
      </c>
      <c r="E2" s="1" t="s">
        <v>12</v>
      </c>
      <c r="F2" s="1" t="s">
        <v>13</v>
      </c>
      <c r="G2" s="1" t="s">
        <v>14</v>
      </c>
      <c r="H2" s="1">
        <v>7</v>
      </c>
      <c r="I2" s="1">
        <v>2843.87</v>
      </c>
      <c r="J2" s="1">
        <v>19907.09</v>
      </c>
      <c r="L2" s="4" t="s">
        <v>51</v>
      </c>
    </row>
    <row r="3" spans="1:21" x14ac:dyDescent="0.3">
      <c r="A3" s="1">
        <v>10002</v>
      </c>
      <c r="B3" s="1">
        <v>1435</v>
      </c>
      <c r="C3" s="2">
        <v>45199</v>
      </c>
      <c r="D3" s="1" t="s">
        <v>15</v>
      </c>
      <c r="E3" s="1" t="s">
        <v>16</v>
      </c>
      <c r="F3" s="1" t="s">
        <v>17</v>
      </c>
      <c r="G3" s="1" t="s">
        <v>18</v>
      </c>
      <c r="H3" s="1">
        <v>9</v>
      </c>
      <c r="I3" s="1">
        <v>2525.23</v>
      </c>
      <c r="J3" s="1">
        <v>21590.720000000001</v>
      </c>
      <c r="L3" s="3" t="s">
        <v>0</v>
      </c>
      <c r="M3" s="3" t="s">
        <v>9</v>
      </c>
    </row>
    <row r="4" spans="1:21" x14ac:dyDescent="0.3">
      <c r="A4" s="1">
        <v>10003</v>
      </c>
      <c r="B4" s="1">
        <v>1860</v>
      </c>
      <c r="C4" s="2">
        <v>45109</v>
      </c>
      <c r="D4" s="1" t="s">
        <v>10</v>
      </c>
      <c r="E4" s="1" t="s">
        <v>16</v>
      </c>
      <c r="F4" s="1" t="s">
        <v>19</v>
      </c>
      <c r="G4" s="1" t="s">
        <v>20</v>
      </c>
      <c r="H4" s="1">
        <v>6</v>
      </c>
      <c r="I4" s="1">
        <v>3474.34</v>
      </c>
      <c r="J4" s="1">
        <v>17719.13</v>
      </c>
      <c r="L4" s="1">
        <v>10011</v>
      </c>
      <c r="M4" s="1">
        <f>_xlfn.XLOOKUP(L4,A1:A501,J1:J501)</f>
        <v>19231.5</v>
      </c>
    </row>
    <row r="5" spans="1:21" x14ac:dyDescent="0.3">
      <c r="A5" s="1">
        <v>10004</v>
      </c>
      <c r="B5" s="1">
        <v>1270</v>
      </c>
      <c r="C5" s="2">
        <v>45079</v>
      </c>
      <c r="D5" s="1" t="s">
        <v>21</v>
      </c>
      <c r="E5" s="1" t="s">
        <v>22</v>
      </c>
      <c r="F5" s="1" t="s">
        <v>23</v>
      </c>
      <c r="G5" s="1" t="s">
        <v>14</v>
      </c>
      <c r="H5" s="1">
        <v>1</v>
      </c>
      <c r="I5" s="1">
        <v>1008.79</v>
      </c>
      <c r="J5" s="1">
        <v>857.47</v>
      </c>
    </row>
    <row r="6" spans="1:21" x14ac:dyDescent="0.3">
      <c r="A6" s="1">
        <v>10005</v>
      </c>
      <c r="B6" s="1">
        <v>1106</v>
      </c>
      <c r="C6" s="2">
        <v>45241</v>
      </c>
      <c r="D6" s="1" t="s">
        <v>24</v>
      </c>
      <c r="E6" s="1" t="s">
        <v>12</v>
      </c>
      <c r="F6" s="1" t="s">
        <v>25</v>
      </c>
      <c r="G6" s="1" t="s">
        <v>14</v>
      </c>
      <c r="H6" s="1">
        <v>7</v>
      </c>
      <c r="I6" s="1">
        <v>3511.47</v>
      </c>
      <c r="J6" s="1">
        <v>19664.23</v>
      </c>
    </row>
    <row r="7" spans="1:21" x14ac:dyDescent="0.3">
      <c r="A7" s="1">
        <v>10006</v>
      </c>
      <c r="B7" s="1">
        <v>1071</v>
      </c>
      <c r="C7" s="2">
        <v>45260</v>
      </c>
      <c r="D7" s="1" t="s">
        <v>26</v>
      </c>
      <c r="E7" s="1" t="s">
        <v>27</v>
      </c>
      <c r="F7" s="1" t="s">
        <v>28</v>
      </c>
      <c r="G7" s="1" t="s">
        <v>20</v>
      </c>
      <c r="H7" s="1">
        <v>3</v>
      </c>
      <c r="I7" s="1">
        <v>3189.55</v>
      </c>
      <c r="J7" s="1">
        <v>8611.7800000000007</v>
      </c>
      <c r="L7" s="4" t="s">
        <v>52</v>
      </c>
    </row>
    <row r="8" spans="1:21" x14ac:dyDescent="0.3">
      <c r="A8" s="1">
        <v>10007</v>
      </c>
      <c r="B8" s="1">
        <v>1700</v>
      </c>
      <c r="C8" s="2">
        <v>45050</v>
      </c>
      <c r="D8" s="1" t="s">
        <v>21</v>
      </c>
      <c r="E8" s="1" t="s">
        <v>29</v>
      </c>
      <c r="F8" s="1" t="s">
        <v>19</v>
      </c>
      <c r="G8" s="1" t="s">
        <v>30</v>
      </c>
      <c r="H8" s="1">
        <v>5</v>
      </c>
      <c r="I8" s="1">
        <v>3030.42</v>
      </c>
      <c r="J8" s="1">
        <v>13636.89</v>
      </c>
      <c r="L8" s="3" t="s">
        <v>1</v>
      </c>
      <c r="M8" s="3" t="s">
        <v>3</v>
      </c>
    </row>
    <row r="9" spans="1:21" x14ac:dyDescent="0.3">
      <c r="A9" s="1">
        <v>10008</v>
      </c>
      <c r="B9" s="1">
        <v>1020</v>
      </c>
      <c r="C9" s="2">
        <v>45040</v>
      </c>
      <c r="D9" s="1" t="s">
        <v>31</v>
      </c>
      <c r="E9" s="1" t="s">
        <v>12</v>
      </c>
      <c r="F9" s="1" t="s">
        <v>19</v>
      </c>
      <c r="G9" s="1" t="s">
        <v>32</v>
      </c>
      <c r="H9" s="1">
        <v>4</v>
      </c>
      <c r="I9" s="1">
        <v>2310.83</v>
      </c>
      <c r="J9" s="1">
        <v>8318.99</v>
      </c>
      <c r="L9" s="1">
        <v>1270</v>
      </c>
      <c r="M9" s="1" t="str">
        <f>_xlfn.XLOOKUP(L9,B1:B501,D1:D501)</f>
        <v>Bengaluru</v>
      </c>
    </row>
    <row r="10" spans="1:21" x14ac:dyDescent="0.3">
      <c r="A10" s="1">
        <v>10009</v>
      </c>
      <c r="B10" s="1">
        <v>1614</v>
      </c>
      <c r="C10" s="2">
        <v>45204</v>
      </c>
      <c r="D10" s="1" t="s">
        <v>10</v>
      </c>
      <c r="E10" s="1" t="s">
        <v>16</v>
      </c>
      <c r="F10" s="1" t="s">
        <v>33</v>
      </c>
      <c r="G10" s="1" t="s">
        <v>18</v>
      </c>
      <c r="H10" s="1">
        <v>5</v>
      </c>
      <c r="I10" s="1">
        <v>1098.04</v>
      </c>
      <c r="J10" s="1">
        <v>4666.67</v>
      </c>
    </row>
    <row r="11" spans="1:21" x14ac:dyDescent="0.3">
      <c r="A11" s="1">
        <v>10010</v>
      </c>
      <c r="B11" s="1">
        <v>1121</v>
      </c>
      <c r="C11" s="2">
        <v>45139</v>
      </c>
      <c r="D11" s="1" t="s">
        <v>21</v>
      </c>
      <c r="E11" s="1" t="s">
        <v>22</v>
      </c>
      <c r="F11" s="1" t="s">
        <v>34</v>
      </c>
      <c r="G11" s="1" t="s">
        <v>32</v>
      </c>
      <c r="H11" s="1">
        <v>5</v>
      </c>
      <c r="I11" s="1">
        <v>1780.66</v>
      </c>
      <c r="J11" s="1">
        <v>7122.64</v>
      </c>
      <c r="L11">
        <v>3</v>
      </c>
    </row>
    <row r="12" spans="1:21" x14ac:dyDescent="0.3">
      <c r="A12" s="1">
        <v>10011</v>
      </c>
      <c r="B12" s="1">
        <v>1466</v>
      </c>
      <c r="C12" s="2">
        <v>45098</v>
      </c>
      <c r="D12" s="1" t="s">
        <v>21</v>
      </c>
      <c r="E12" s="1" t="s">
        <v>22</v>
      </c>
      <c r="F12" s="1" t="s">
        <v>34</v>
      </c>
      <c r="G12" s="1" t="s">
        <v>20</v>
      </c>
      <c r="H12" s="1">
        <v>6</v>
      </c>
      <c r="I12" s="1">
        <v>3205.25</v>
      </c>
      <c r="J12" s="1">
        <v>19231.5</v>
      </c>
      <c r="L12" s="3" t="s">
        <v>1</v>
      </c>
      <c r="M12" s="3" t="s">
        <v>5</v>
      </c>
    </row>
    <row r="13" spans="1:21" x14ac:dyDescent="0.3">
      <c r="A13" s="1">
        <v>10012</v>
      </c>
      <c r="B13" s="1">
        <v>1214</v>
      </c>
      <c r="C13" s="2">
        <v>45214</v>
      </c>
      <c r="D13" s="1" t="s">
        <v>31</v>
      </c>
      <c r="E13" s="1" t="s">
        <v>29</v>
      </c>
      <c r="F13" s="1" t="s">
        <v>35</v>
      </c>
      <c r="G13" s="1" t="s">
        <v>14</v>
      </c>
      <c r="H13" s="1">
        <v>6</v>
      </c>
      <c r="I13" s="1">
        <v>272.35000000000002</v>
      </c>
      <c r="J13" s="1">
        <v>1552.39</v>
      </c>
      <c r="L13" s="1">
        <v>1120</v>
      </c>
      <c r="M13" s="1" t="str">
        <f>_xlfn.XLOOKUP(L13,B1:B501,F1:F501,"Not Found")</f>
        <v>Not Found</v>
      </c>
    </row>
    <row r="14" spans="1:21" x14ac:dyDescent="0.3">
      <c r="A14" s="1">
        <v>10013</v>
      </c>
      <c r="B14" s="1">
        <v>1330</v>
      </c>
      <c r="C14" s="2">
        <v>45100</v>
      </c>
      <c r="D14" s="1" t="s">
        <v>11</v>
      </c>
      <c r="E14" s="1" t="s">
        <v>22</v>
      </c>
      <c r="F14" s="1" t="s">
        <v>28</v>
      </c>
      <c r="G14" s="1" t="s">
        <v>14</v>
      </c>
      <c r="H14" s="1">
        <v>8</v>
      </c>
      <c r="I14" s="1">
        <v>3160.9</v>
      </c>
      <c r="J14" s="1">
        <v>25287.200000000001</v>
      </c>
    </row>
    <row r="15" spans="1:21" x14ac:dyDescent="0.3">
      <c r="A15" s="1">
        <v>10014</v>
      </c>
      <c r="B15" s="1">
        <v>1458</v>
      </c>
      <c r="C15" s="2">
        <v>45039</v>
      </c>
      <c r="D15" s="1" t="s">
        <v>24</v>
      </c>
      <c r="E15" s="1" t="s">
        <v>22</v>
      </c>
      <c r="F15" s="1" t="s">
        <v>23</v>
      </c>
      <c r="G15" s="1" t="s">
        <v>18</v>
      </c>
      <c r="H15" s="1">
        <v>8</v>
      </c>
      <c r="I15" s="1">
        <v>1074.27</v>
      </c>
      <c r="J15" s="1">
        <v>7305.04</v>
      </c>
    </row>
    <row r="16" spans="1:21" x14ac:dyDescent="0.3">
      <c r="A16" s="1">
        <v>10015</v>
      </c>
      <c r="B16" s="1">
        <v>1087</v>
      </c>
      <c r="C16" s="2">
        <v>45048</v>
      </c>
      <c r="D16" s="1" t="s">
        <v>26</v>
      </c>
      <c r="E16" s="1" t="s">
        <v>12</v>
      </c>
      <c r="F16" s="1" t="s">
        <v>36</v>
      </c>
      <c r="G16" s="1" t="s">
        <v>14</v>
      </c>
      <c r="H16" s="1">
        <v>9</v>
      </c>
      <c r="I16" s="1">
        <v>705.59</v>
      </c>
      <c r="J16" s="1">
        <v>5715.28</v>
      </c>
      <c r="L16" s="3" t="s">
        <v>0</v>
      </c>
      <c r="M16" s="3" t="s">
        <v>1</v>
      </c>
      <c r="N16" s="3" t="s">
        <v>2</v>
      </c>
      <c r="O16" s="3" t="s">
        <v>3</v>
      </c>
      <c r="P16" s="3" t="s">
        <v>4</v>
      </c>
      <c r="Q16" s="3" t="s">
        <v>5</v>
      </c>
      <c r="R16" s="3" t="s">
        <v>6</v>
      </c>
      <c r="S16" s="3" t="s">
        <v>7</v>
      </c>
      <c r="T16" s="3" t="s">
        <v>8</v>
      </c>
      <c r="U16" s="3" t="s">
        <v>9</v>
      </c>
    </row>
    <row r="17" spans="1:21" x14ac:dyDescent="0.3">
      <c r="A17" s="1">
        <v>10016</v>
      </c>
      <c r="B17" s="1">
        <v>1372</v>
      </c>
      <c r="C17" s="2">
        <v>44958</v>
      </c>
      <c r="D17" s="1" t="s">
        <v>15</v>
      </c>
      <c r="E17" s="1" t="s">
        <v>27</v>
      </c>
      <c r="F17" s="1" t="s">
        <v>25</v>
      </c>
      <c r="G17" s="1" t="s">
        <v>14</v>
      </c>
      <c r="H17" s="1">
        <v>8</v>
      </c>
      <c r="I17" s="1">
        <v>595.45000000000005</v>
      </c>
      <c r="J17" s="1">
        <v>4525.42</v>
      </c>
      <c r="L17" s="1">
        <v>10011</v>
      </c>
      <c r="M17" s="1" cm="1">
        <f t="array" ref="M17:U17">_xlfn.XLOOKUP(L17,A1:A501,B1:J501)</f>
        <v>1466</v>
      </c>
      <c r="N17" s="5">
        <v>45098</v>
      </c>
      <c r="O17" s="1" t="str">
        <v>Bengaluru</v>
      </c>
      <c r="P17" s="1" t="str">
        <v>Cash on Delivery</v>
      </c>
      <c r="Q17" s="1" t="str">
        <v>Headphones</v>
      </c>
      <c r="R17" s="1" t="str">
        <v>BrandE</v>
      </c>
      <c r="S17" s="1">
        <v>6</v>
      </c>
      <c r="T17" s="1">
        <v>3205.25</v>
      </c>
      <c r="U17" s="1">
        <v>19231.5</v>
      </c>
    </row>
    <row r="18" spans="1:21" x14ac:dyDescent="0.3">
      <c r="A18" s="1">
        <v>10017</v>
      </c>
      <c r="B18" s="1">
        <v>1099</v>
      </c>
      <c r="C18" s="2">
        <v>45148</v>
      </c>
      <c r="D18" s="1" t="s">
        <v>11</v>
      </c>
      <c r="E18" s="1" t="s">
        <v>29</v>
      </c>
      <c r="F18" s="1" t="s">
        <v>25</v>
      </c>
      <c r="G18" s="1" t="s">
        <v>18</v>
      </c>
      <c r="H18" s="1">
        <v>2</v>
      </c>
      <c r="I18" s="1">
        <v>254.91</v>
      </c>
      <c r="J18" s="1">
        <v>433.35</v>
      </c>
    </row>
    <row r="19" spans="1:21" x14ac:dyDescent="0.3">
      <c r="A19" s="1">
        <v>10018</v>
      </c>
      <c r="B19" s="1">
        <v>1871</v>
      </c>
      <c r="C19" s="2">
        <v>45045</v>
      </c>
      <c r="D19" s="1" t="s">
        <v>10</v>
      </c>
      <c r="E19" s="1" t="s">
        <v>12</v>
      </c>
      <c r="F19" s="1" t="s">
        <v>37</v>
      </c>
      <c r="G19" s="1" t="s">
        <v>18</v>
      </c>
      <c r="H19" s="1">
        <v>1</v>
      </c>
      <c r="I19" s="1">
        <v>2165.81</v>
      </c>
      <c r="J19" s="1">
        <v>1840.94</v>
      </c>
    </row>
    <row r="20" spans="1:21" x14ac:dyDescent="0.3">
      <c r="A20" s="1">
        <v>10019</v>
      </c>
      <c r="B20" s="1">
        <v>1663</v>
      </c>
      <c r="C20" s="2">
        <v>44965</v>
      </c>
      <c r="D20" s="1" t="s">
        <v>21</v>
      </c>
      <c r="E20" s="1" t="s">
        <v>27</v>
      </c>
      <c r="F20" s="1" t="s">
        <v>25</v>
      </c>
      <c r="G20" s="1" t="s">
        <v>20</v>
      </c>
      <c r="H20" s="1">
        <v>2</v>
      </c>
      <c r="I20" s="1">
        <v>990.3</v>
      </c>
      <c r="J20" s="1">
        <v>1683.51</v>
      </c>
      <c r="L20" s="4" t="s">
        <v>55</v>
      </c>
    </row>
    <row r="21" spans="1:21" x14ac:dyDescent="0.3">
      <c r="A21" s="1">
        <v>10020</v>
      </c>
      <c r="B21" s="1">
        <v>1130</v>
      </c>
      <c r="C21" s="2">
        <v>45194</v>
      </c>
      <c r="D21" s="1" t="s">
        <v>31</v>
      </c>
      <c r="E21" s="1" t="s">
        <v>12</v>
      </c>
      <c r="F21" s="1" t="s">
        <v>35</v>
      </c>
      <c r="G21" s="1" t="s">
        <v>14</v>
      </c>
      <c r="H21" s="1">
        <v>2</v>
      </c>
      <c r="I21" s="1">
        <v>3959.31</v>
      </c>
      <c r="J21" s="1">
        <v>7522.69</v>
      </c>
      <c r="L21" s="3" t="s">
        <v>0</v>
      </c>
      <c r="M21" s="3" t="s">
        <v>1</v>
      </c>
      <c r="N21" s="3" t="s">
        <v>2</v>
      </c>
      <c r="O21" s="3" t="s">
        <v>3</v>
      </c>
      <c r="P21" s="3" t="s">
        <v>4</v>
      </c>
      <c r="Q21" s="3" t="s">
        <v>5</v>
      </c>
      <c r="R21" s="3" t="s">
        <v>6</v>
      </c>
      <c r="S21" s="3" t="s">
        <v>7</v>
      </c>
      <c r="T21" s="3" t="s">
        <v>8</v>
      </c>
      <c r="U21" s="3" t="s">
        <v>9</v>
      </c>
    </row>
    <row r="22" spans="1:21" x14ac:dyDescent="0.3">
      <c r="A22" s="1">
        <v>10021</v>
      </c>
      <c r="B22" s="1">
        <v>1661</v>
      </c>
      <c r="C22" s="2">
        <v>45159</v>
      </c>
      <c r="D22" s="1" t="s">
        <v>31</v>
      </c>
      <c r="E22" s="1" t="s">
        <v>12</v>
      </c>
      <c r="F22" s="1" t="s">
        <v>38</v>
      </c>
      <c r="G22" s="1" t="s">
        <v>14</v>
      </c>
      <c r="H22" s="1">
        <v>3</v>
      </c>
      <c r="I22" s="1">
        <v>2361.58</v>
      </c>
      <c r="J22" s="1">
        <v>6730.5</v>
      </c>
      <c r="L22" s="1">
        <v>10005</v>
      </c>
      <c r="M22" s="1" cm="1">
        <f t="array" ref="M22:U22">_xlfn.XLOOKUP(L22,$A$1:$A$501,$B$1:$J$501)</f>
        <v>1106</v>
      </c>
      <c r="N22" s="2">
        <v>45241</v>
      </c>
      <c r="O22" s="1" t="str">
        <v>Kolkata</v>
      </c>
      <c r="P22" s="1" t="str">
        <v>Credit Card</v>
      </c>
      <c r="Q22" s="1" t="str">
        <v>Jacket</v>
      </c>
      <c r="R22" s="1" t="str">
        <v>BrandA</v>
      </c>
      <c r="S22" s="1">
        <v>7</v>
      </c>
      <c r="T22" s="1">
        <v>3511.47</v>
      </c>
      <c r="U22" s="1">
        <v>19664.23</v>
      </c>
    </row>
    <row r="23" spans="1:21" x14ac:dyDescent="0.3">
      <c r="A23" s="1">
        <v>10022</v>
      </c>
      <c r="B23" s="1">
        <v>1308</v>
      </c>
      <c r="C23" s="2">
        <v>44944</v>
      </c>
      <c r="D23" s="1" t="s">
        <v>24</v>
      </c>
      <c r="E23" s="1" t="s">
        <v>22</v>
      </c>
      <c r="F23" s="1" t="s">
        <v>39</v>
      </c>
      <c r="G23" s="1" t="s">
        <v>20</v>
      </c>
      <c r="H23" s="1">
        <v>7</v>
      </c>
      <c r="I23" s="1">
        <v>680.86</v>
      </c>
      <c r="J23" s="1">
        <v>3812.82</v>
      </c>
      <c r="L23" s="1">
        <v>10011</v>
      </c>
      <c r="M23" s="1" cm="1">
        <f t="array" ref="M23:U23">_xlfn.XLOOKUP(L23,$A$1:$A$501,$B$1:$J$501)</f>
        <v>1466</v>
      </c>
      <c r="N23" s="2">
        <v>45098</v>
      </c>
      <c r="O23" s="1" t="str">
        <v>Bengaluru</v>
      </c>
      <c r="P23" s="1" t="str">
        <v>Cash on Delivery</v>
      </c>
      <c r="Q23" s="1" t="str">
        <v>Headphones</v>
      </c>
      <c r="R23" s="1" t="str">
        <v>BrandE</v>
      </c>
      <c r="S23" s="1">
        <v>6</v>
      </c>
      <c r="T23" s="1">
        <v>3205.25</v>
      </c>
      <c r="U23" s="1">
        <v>19231.5</v>
      </c>
    </row>
    <row r="24" spans="1:21" x14ac:dyDescent="0.3">
      <c r="A24" s="1">
        <v>10023</v>
      </c>
      <c r="B24" s="1">
        <v>1769</v>
      </c>
      <c r="C24" s="2">
        <v>45075</v>
      </c>
      <c r="D24" s="1" t="s">
        <v>11</v>
      </c>
      <c r="E24" s="1" t="s">
        <v>27</v>
      </c>
      <c r="F24" s="1" t="s">
        <v>19</v>
      </c>
      <c r="G24" s="1" t="s">
        <v>30</v>
      </c>
      <c r="H24" s="1">
        <v>2</v>
      </c>
      <c r="I24" s="1">
        <v>2801.74</v>
      </c>
      <c r="J24" s="1">
        <v>4482.78</v>
      </c>
      <c r="L24" s="1">
        <v>10016</v>
      </c>
      <c r="M24" s="1" cm="1">
        <f t="array" ref="M24:U24">_xlfn.XLOOKUP(L24,$A$1:$A$501,$B$1:$J$501)</f>
        <v>1372</v>
      </c>
      <c r="N24" s="2">
        <v>44958</v>
      </c>
      <c r="O24" s="1" t="str">
        <v>Pune</v>
      </c>
      <c r="P24" s="1" t="str">
        <v>Net Banking</v>
      </c>
      <c r="Q24" s="1" t="str">
        <v>Jacket</v>
      </c>
      <c r="R24" s="1" t="str">
        <v>BrandA</v>
      </c>
      <c r="S24" s="1">
        <v>8</v>
      </c>
      <c r="T24" s="1">
        <v>595.45000000000005</v>
      </c>
      <c r="U24" s="1">
        <v>4525.42</v>
      </c>
    </row>
    <row r="25" spans="1:21" x14ac:dyDescent="0.3">
      <c r="A25" s="1">
        <v>10024</v>
      </c>
      <c r="B25" s="1">
        <v>1343</v>
      </c>
      <c r="C25" s="2">
        <v>45075</v>
      </c>
      <c r="D25" s="1" t="s">
        <v>15</v>
      </c>
      <c r="E25" s="1" t="s">
        <v>29</v>
      </c>
      <c r="F25" s="1" t="s">
        <v>35</v>
      </c>
      <c r="G25" s="1" t="s">
        <v>30</v>
      </c>
      <c r="H25" s="1">
        <v>1</v>
      </c>
      <c r="I25" s="1">
        <v>3606.31</v>
      </c>
      <c r="J25" s="1">
        <v>3606.31</v>
      </c>
    </row>
    <row r="26" spans="1:21" x14ac:dyDescent="0.3">
      <c r="A26" s="1">
        <v>10025</v>
      </c>
      <c r="B26" s="1">
        <v>1491</v>
      </c>
      <c r="C26" s="2">
        <v>45052</v>
      </c>
      <c r="D26" s="1" t="s">
        <v>24</v>
      </c>
      <c r="E26" s="1" t="s">
        <v>29</v>
      </c>
      <c r="F26" s="1" t="s">
        <v>40</v>
      </c>
      <c r="G26" s="1" t="s">
        <v>30</v>
      </c>
      <c r="H26" s="1">
        <v>6</v>
      </c>
      <c r="I26" s="1">
        <v>3018.94</v>
      </c>
      <c r="J26" s="1">
        <v>17207.96</v>
      </c>
      <c r="L26" s="4" t="s">
        <v>54</v>
      </c>
    </row>
    <row r="27" spans="1:21" x14ac:dyDescent="0.3">
      <c r="A27" s="1">
        <v>10026</v>
      </c>
      <c r="B27" s="1">
        <v>1413</v>
      </c>
      <c r="C27" s="2">
        <v>45228</v>
      </c>
      <c r="D27" s="1" t="s">
        <v>21</v>
      </c>
      <c r="E27" s="1" t="s">
        <v>27</v>
      </c>
      <c r="F27" s="1" t="s">
        <v>41</v>
      </c>
      <c r="G27" s="1" t="s">
        <v>20</v>
      </c>
      <c r="H27" s="1">
        <v>9</v>
      </c>
      <c r="I27" s="1">
        <v>444.29</v>
      </c>
      <c r="J27" s="1">
        <v>3798.68</v>
      </c>
      <c r="L27" s="3" t="s">
        <v>0</v>
      </c>
      <c r="M27" s="1">
        <v>10011</v>
      </c>
    </row>
    <row r="28" spans="1:21" x14ac:dyDescent="0.3">
      <c r="A28" s="1">
        <v>10027</v>
      </c>
      <c r="B28" s="1">
        <v>1805</v>
      </c>
      <c r="C28" s="2">
        <v>45286</v>
      </c>
      <c r="D28" s="1" t="s">
        <v>24</v>
      </c>
      <c r="E28" s="1" t="s">
        <v>22</v>
      </c>
      <c r="F28" s="1" t="s">
        <v>39</v>
      </c>
      <c r="G28" s="1" t="s">
        <v>14</v>
      </c>
      <c r="H28" s="1">
        <v>3</v>
      </c>
      <c r="I28" s="1">
        <v>3599.15</v>
      </c>
      <c r="J28" s="1">
        <v>10257.58</v>
      </c>
      <c r="L28" s="3" t="s">
        <v>1</v>
      </c>
      <c r="M28" s="1" cm="1">
        <f t="array" ref="M28:M36">TRANSPOSE(_xlfn.XLOOKUP(M27,A1:A501,B1:J501))</f>
        <v>1466</v>
      </c>
    </row>
    <row r="29" spans="1:21" x14ac:dyDescent="0.3">
      <c r="A29" s="1">
        <v>10028</v>
      </c>
      <c r="B29" s="1">
        <v>1385</v>
      </c>
      <c r="C29" s="2">
        <v>45164</v>
      </c>
      <c r="D29" s="1" t="s">
        <v>26</v>
      </c>
      <c r="E29" s="1" t="s">
        <v>16</v>
      </c>
      <c r="F29" s="1" t="s">
        <v>35</v>
      </c>
      <c r="G29" s="1" t="s">
        <v>20</v>
      </c>
      <c r="H29" s="1">
        <v>6</v>
      </c>
      <c r="I29" s="1">
        <v>3206.63</v>
      </c>
      <c r="J29" s="1">
        <v>15391.82</v>
      </c>
      <c r="L29" s="3" t="s">
        <v>2</v>
      </c>
      <c r="M29" s="2">
        <v>45098</v>
      </c>
    </row>
    <row r="30" spans="1:21" x14ac:dyDescent="0.3">
      <c r="A30" s="1">
        <v>10029</v>
      </c>
      <c r="B30" s="1">
        <v>1191</v>
      </c>
      <c r="C30" s="2">
        <v>45061</v>
      </c>
      <c r="D30" s="1" t="s">
        <v>31</v>
      </c>
      <c r="E30" s="1" t="s">
        <v>12</v>
      </c>
      <c r="F30" s="1" t="s">
        <v>17</v>
      </c>
      <c r="G30" s="1" t="s">
        <v>20</v>
      </c>
      <c r="H30" s="1">
        <v>3</v>
      </c>
      <c r="I30" s="1">
        <v>759.47</v>
      </c>
      <c r="J30" s="1">
        <v>1936.65</v>
      </c>
      <c r="L30" s="3" t="s">
        <v>3</v>
      </c>
      <c r="M30" s="1" t="str">
        <v>Bengaluru</v>
      </c>
    </row>
    <row r="31" spans="1:21" x14ac:dyDescent="0.3">
      <c r="A31" s="1">
        <v>10030</v>
      </c>
      <c r="B31" s="1">
        <v>1955</v>
      </c>
      <c r="C31" s="2">
        <v>45077</v>
      </c>
      <c r="D31" s="1" t="s">
        <v>31</v>
      </c>
      <c r="E31" s="1" t="s">
        <v>22</v>
      </c>
      <c r="F31" s="1" t="s">
        <v>42</v>
      </c>
      <c r="G31" s="1" t="s">
        <v>30</v>
      </c>
      <c r="H31" s="1">
        <v>1</v>
      </c>
      <c r="I31" s="1">
        <v>349.38</v>
      </c>
      <c r="J31" s="1">
        <v>314.44</v>
      </c>
      <c r="L31" s="3" t="s">
        <v>4</v>
      </c>
      <c r="M31" s="1" t="str">
        <v>Cash on Delivery</v>
      </c>
    </row>
    <row r="32" spans="1:21" x14ac:dyDescent="0.3">
      <c r="A32" s="1">
        <v>10031</v>
      </c>
      <c r="B32" s="1">
        <v>1276</v>
      </c>
      <c r="C32" s="2">
        <v>45162</v>
      </c>
      <c r="D32" s="1" t="s">
        <v>10</v>
      </c>
      <c r="E32" s="1" t="s">
        <v>27</v>
      </c>
      <c r="F32" s="1" t="s">
        <v>43</v>
      </c>
      <c r="G32" s="1" t="s">
        <v>32</v>
      </c>
      <c r="H32" s="1">
        <v>5</v>
      </c>
      <c r="I32" s="1">
        <v>2295.65</v>
      </c>
      <c r="J32" s="1">
        <v>9182.6</v>
      </c>
      <c r="L32" s="3" t="s">
        <v>5</v>
      </c>
      <c r="M32" s="1" t="str">
        <v>Headphones</v>
      </c>
    </row>
    <row r="33" spans="1:20" x14ac:dyDescent="0.3">
      <c r="A33" s="1">
        <v>10032</v>
      </c>
      <c r="B33" s="1">
        <v>1160</v>
      </c>
      <c r="C33" s="2">
        <v>45150</v>
      </c>
      <c r="D33" s="1" t="s">
        <v>10</v>
      </c>
      <c r="E33" s="1" t="s">
        <v>12</v>
      </c>
      <c r="F33" s="1" t="s">
        <v>28</v>
      </c>
      <c r="G33" s="1" t="s">
        <v>14</v>
      </c>
      <c r="H33" s="1">
        <v>4</v>
      </c>
      <c r="I33" s="1">
        <v>750.74</v>
      </c>
      <c r="J33" s="1">
        <v>2852.81</v>
      </c>
      <c r="L33" s="3" t="s">
        <v>6</v>
      </c>
      <c r="M33" s="1" t="str">
        <v>BrandE</v>
      </c>
    </row>
    <row r="34" spans="1:20" x14ac:dyDescent="0.3">
      <c r="A34" s="1">
        <v>10033</v>
      </c>
      <c r="B34" s="1">
        <v>1459</v>
      </c>
      <c r="C34" s="2">
        <v>45129</v>
      </c>
      <c r="D34" s="1" t="s">
        <v>15</v>
      </c>
      <c r="E34" s="1" t="s">
        <v>29</v>
      </c>
      <c r="F34" s="1" t="s">
        <v>40</v>
      </c>
      <c r="G34" s="1" t="s">
        <v>30</v>
      </c>
      <c r="H34" s="1">
        <v>7</v>
      </c>
      <c r="I34" s="1">
        <v>3363.18</v>
      </c>
      <c r="J34" s="1">
        <v>18833.810000000001</v>
      </c>
      <c r="L34" s="3" t="s">
        <v>7</v>
      </c>
      <c r="M34" s="1">
        <v>6</v>
      </c>
    </row>
    <row r="35" spans="1:20" x14ac:dyDescent="0.3">
      <c r="A35" s="1">
        <v>10034</v>
      </c>
      <c r="B35" s="1">
        <v>1313</v>
      </c>
      <c r="C35" s="2">
        <v>45182</v>
      </c>
      <c r="D35" s="1" t="s">
        <v>21</v>
      </c>
      <c r="E35" s="1" t="s">
        <v>16</v>
      </c>
      <c r="F35" s="1" t="s">
        <v>33</v>
      </c>
      <c r="G35" s="1" t="s">
        <v>32</v>
      </c>
      <c r="H35" s="1">
        <v>6</v>
      </c>
      <c r="I35" s="1">
        <v>1529.59</v>
      </c>
      <c r="J35" s="1">
        <v>9177.5400000000009</v>
      </c>
      <c r="L35" s="3" t="s">
        <v>8</v>
      </c>
      <c r="M35" s="1">
        <v>3205.25</v>
      </c>
    </row>
    <row r="36" spans="1:20" x14ac:dyDescent="0.3">
      <c r="A36" s="1">
        <v>10035</v>
      </c>
      <c r="B36" s="1">
        <v>1021</v>
      </c>
      <c r="C36" s="2">
        <v>45012</v>
      </c>
      <c r="D36" s="1" t="s">
        <v>26</v>
      </c>
      <c r="E36" s="1" t="s">
        <v>29</v>
      </c>
      <c r="F36" s="1" t="s">
        <v>33</v>
      </c>
      <c r="G36" s="1" t="s">
        <v>32</v>
      </c>
      <c r="H36" s="1">
        <v>7</v>
      </c>
      <c r="I36" s="1">
        <v>3664.64</v>
      </c>
      <c r="J36" s="1">
        <v>24369.86</v>
      </c>
      <c r="L36" s="3" t="s">
        <v>9</v>
      </c>
      <c r="M36" s="1">
        <v>19231.5</v>
      </c>
    </row>
    <row r="37" spans="1:20" x14ac:dyDescent="0.3">
      <c r="A37" s="1">
        <v>10036</v>
      </c>
      <c r="B37" s="1">
        <v>1252</v>
      </c>
      <c r="C37" s="2">
        <v>45076</v>
      </c>
      <c r="D37" s="1" t="s">
        <v>11</v>
      </c>
      <c r="E37" s="1" t="s">
        <v>27</v>
      </c>
      <c r="F37" s="1" t="s">
        <v>17</v>
      </c>
      <c r="G37" s="1" t="s">
        <v>18</v>
      </c>
      <c r="H37" s="1">
        <v>5</v>
      </c>
      <c r="I37" s="1">
        <v>2327.9</v>
      </c>
      <c r="J37" s="1">
        <v>11639.5</v>
      </c>
    </row>
    <row r="38" spans="1:20" x14ac:dyDescent="0.3">
      <c r="A38" s="1">
        <v>10037</v>
      </c>
      <c r="B38" s="1">
        <v>1747</v>
      </c>
      <c r="C38" s="2">
        <v>45161</v>
      </c>
      <c r="D38" s="1" t="s">
        <v>24</v>
      </c>
      <c r="E38" s="1" t="s">
        <v>12</v>
      </c>
      <c r="F38" s="1" t="s">
        <v>37</v>
      </c>
      <c r="G38" s="1" t="s">
        <v>14</v>
      </c>
      <c r="H38" s="1">
        <v>4</v>
      </c>
      <c r="I38" s="1">
        <v>853.29</v>
      </c>
      <c r="J38" s="1">
        <v>3242.5</v>
      </c>
      <c r="L38" s="4" t="s">
        <v>53</v>
      </c>
    </row>
    <row r="39" spans="1:20" x14ac:dyDescent="0.3">
      <c r="A39" s="1">
        <v>10038</v>
      </c>
      <c r="B39" s="1">
        <v>1856</v>
      </c>
      <c r="C39" s="2">
        <v>45271</v>
      </c>
      <c r="D39" s="1" t="s">
        <v>15</v>
      </c>
      <c r="E39" s="1" t="s">
        <v>27</v>
      </c>
      <c r="F39" s="1" t="s">
        <v>44</v>
      </c>
      <c r="G39" s="1" t="s">
        <v>32</v>
      </c>
      <c r="H39" s="1">
        <v>7</v>
      </c>
      <c r="I39" s="1">
        <v>687.46</v>
      </c>
      <c r="J39" s="1">
        <v>3849.78</v>
      </c>
      <c r="L39" s="3" t="s">
        <v>0</v>
      </c>
      <c r="M39" s="3" t="s">
        <v>4</v>
      </c>
      <c r="N39" s="3" t="s">
        <v>9</v>
      </c>
    </row>
    <row r="40" spans="1:20" x14ac:dyDescent="0.3">
      <c r="A40" s="1">
        <v>10039</v>
      </c>
      <c r="B40" s="1">
        <v>1560</v>
      </c>
      <c r="C40" s="2">
        <v>44948</v>
      </c>
      <c r="D40" s="1" t="s">
        <v>21</v>
      </c>
      <c r="E40" s="1" t="s">
        <v>12</v>
      </c>
      <c r="F40" s="1" t="s">
        <v>33</v>
      </c>
      <c r="G40" s="1" t="s">
        <v>30</v>
      </c>
      <c r="H40" s="1">
        <v>7</v>
      </c>
      <c r="I40" s="1">
        <v>2369.42</v>
      </c>
      <c r="J40" s="1">
        <v>14098.05</v>
      </c>
      <c r="L40" s="3">
        <v>10008</v>
      </c>
      <c r="M40" s="3" t="str" cm="1">
        <f t="array" ref="M40:N40">_xlfn.XLOOKUP(L40,A1:A501,CHOOSE({1,2},E1:E501,J1:J501))</f>
        <v>Credit Card</v>
      </c>
      <c r="N40" s="3">
        <v>8318.99</v>
      </c>
    </row>
    <row r="41" spans="1:20" x14ac:dyDescent="0.3">
      <c r="A41" s="1">
        <v>10040</v>
      </c>
      <c r="B41" s="1">
        <v>1474</v>
      </c>
      <c r="C41" s="2">
        <v>45274</v>
      </c>
      <c r="D41" s="1" t="s">
        <v>10</v>
      </c>
      <c r="E41" s="1" t="s">
        <v>22</v>
      </c>
      <c r="F41" s="1" t="s">
        <v>17</v>
      </c>
      <c r="G41" s="1" t="s">
        <v>18</v>
      </c>
      <c r="H41" s="1">
        <v>6</v>
      </c>
      <c r="I41" s="1">
        <v>3083.25</v>
      </c>
      <c r="J41" s="1">
        <v>16649.55</v>
      </c>
    </row>
    <row r="42" spans="1:20" x14ac:dyDescent="0.3">
      <c r="A42" s="1">
        <v>10041</v>
      </c>
      <c r="B42" s="1">
        <v>1058</v>
      </c>
      <c r="C42" s="2">
        <v>45211</v>
      </c>
      <c r="D42" s="1" t="s">
        <v>24</v>
      </c>
      <c r="E42" s="1" t="s">
        <v>16</v>
      </c>
      <c r="F42" s="1" t="s">
        <v>45</v>
      </c>
      <c r="G42" s="1" t="s">
        <v>14</v>
      </c>
      <c r="H42" s="1">
        <v>8</v>
      </c>
      <c r="I42" s="1">
        <v>3158.8</v>
      </c>
      <c r="J42" s="1">
        <v>25270.400000000001</v>
      </c>
    </row>
    <row r="43" spans="1:20" x14ac:dyDescent="0.3">
      <c r="A43" s="1">
        <v>10042</v>
      </c>
      <c r="B43" s="1">
        <v>1510</v>
      </c>
      <c r="C43" s="2">
        <v>45195</v>
      </c>
      <c r="D43" s="1" t="s">
        <v>10</v>
      </c>
      <c r="E43" s="1" t="s">
        <v>22</v>
      </c>
      <c r="F43" s="1" t="s">
        <v>17</v>
      </c>
      <c r="G43" s="1" t="s">
        <v>20</v>
      </c>
      <c r="H43" s="1">
        <v>4</v>
      </c>
      <c r="I43" s="1">
        <v>1211.67</v>
      </c>
      <c r="J43" s="1">
        <v>3877.34</v>
      </c>
      <c r="L43" s="3" t="s">
        <v>0</v>
      </c>
      <c r="M43" s="3" t="s">
        <v>4</v>
      </c>
      <c r="N43" s="3" t="s">
        <v>9</v>
      </c>
    </row>
    <row r="44" spans="1:20" x14ac:dyDescent="0.3">
      <c r="A44" s="1">
        <v>10043</v>
      </c>
      <c r="B44" s="1">
        <v>1681</v>
      </c>
      <c r="C44" s="2">
        <v>45184</v>
      </c>
      <c r="D44" s="1" t="s">
        <v>24</v>
      </c>
      <c r="E44" s="1" t="s">
        <v>22</v>
      </c>
      <c r="F44" s="1" t="s">
        <v>33</v>
      </c>
      <c r="G44" s="1" t="s">
        <v>30</v>
      </c>
      <c r="H44" s="1">
        <v>5</v>
      </c>
      <c r="I44" s="1">
        <v>936.35</v>
      </c>
      <c r="J44" s="1">
        <v>3979.49</v>
      </c>
      <c r="L44" s="1">
        <v>100020</v>
      </c>
      <c r="M44" s="1" t="e" cm="1">
        <f t="array" aca="1" ref="M44" ca="1">CHOOSECOLS(_xlfn.XLOOKUP(L44,A1:A501,B1:J501),5,10)</f>
        <v>#NAME?</v>
      </c>
      <c r="N44" s="1"/>
    </row>
    <row r="45" spans="1:20" x14ac:dyDescent="0.3">
      <c r="A45" s="1">
        <v>10044</v>
      </c>
      <c r="B45" s="1">
        <v>1475</v>
      </c>
      <c r="C45" s="2">
        <v>44955</v>
      </c>
      <c r="D45" s="1" t="s">
        <v>11</v>
      </c>
      <c r="E45" s="1" t="s">
        <v>27</v>
      </c>
      <c r="F45" s="1" t="s">
        <v>33</v>
      </c>
      <c r="G45" s="1" t="s">
        <v>32</v>
      </c>
      <c r="H45" s="1">
        <v>4</v>
      </c>
      <c r="I45" s="1">
        <v>214.51</v>
      </c>
      <c r="J45" s="1">
        <v>686.43</v>
      </c>
    </row>
    <row r="46" spans="1:20" x14ac:dyDescent="0.3">
      <c r="A46" s="1">
        <v>10045</v>
      </c>
      <c r="B46" s="1">
        <v>1699</v>
      </c>
      <c r="C46" s="2">
        <v>45139</v>
      </c>
      <c r="D46" s="1" t="s">
        <v>21</v>
      </c>
      <c r="E46" s="1" t="s">
        <v>16</v>
      </c>
      <c r="F46" s="1" t="s">
        <v>42</v>
      </c>
      <c r="G46" s="1" t="s">
        <v>32</v>
      </c>
      <c r="H46" s="1">
        <v>1</v>
      </c>
      <c r="I46" s="1">
        <v>2764.92</v>
      </c>
      <c r="J46" s="1">
        <v>2764.92</v>
      </c>
    </row>
    <row r="47" spans="1:20" x14ac:dyDescent="0.3">
      <c r="A47" s="1">
        <v>10046</v>
      </c>
      <c r="B47" s="1">
        <v>1975</v>
      </c>
      <c r="C47" s="2">
        <v>45209</v>
      </c>
      <c r="D47" s="1" t="s">
        <v>24</v>
      </c>
      <c r="E47" s="1" t="s">
        <v>12</v>
      </c>
      <c r="F47" s="1" t="s">
        <v>35</v>
      </c>
      <c r="G47" s="1" t="s">
        <v>30</v>
      </c>
      <c r="H47" s="1">
        <v>8</v>
      </c>
      <c r="I47" s="1">
        <v>444.79</v>
      </c>
      <c r="J47" s="1">
        <v>3202.49</v>
      </c>
      <c r="L47" s="3" t="s">
        <v>3</v>
      </c>
      <c r="M47" s="3" t="s">
        <v>1</v>
      </c>
      <c r="N47" s="3" t="s">
        <v>4</v>
      </c>
      <c r="O47" s="3" t="s">
        <v>5</v>
      </c>
      <c r="P47" s="3" t="s">
        <v>6</v>
      </c>
      <c r="Q47" s="3" t="s">
        <v>7</v>
      </c>
      <c r="R47" s="3" t="s">
        <v>8</v>
      </c>
      <c r="S47" s="3" t="s">
        <v>9</v>
      </c>
      <c r="T47" s="6"/>
    </row>
    <row r="48" spans="1:20" x14ac:dyDescent="0.3">
      <c r="A48" s="1">
        <v>10047</v>
      </c>
      <c r="B48" s="1">
        <v>1782</v>
      </c>
      <c r="C48" s="2">
        <v>44976</v>
      </c>
      <c r="D48" s="1" t="s">
        <v>26</v>
      </c>
      <c r="E48" s="1" t="s">
        <v>12</v>
      </c>
      <c r="F48" s="1" t="s">
        <v>43</v>
      </c>
      <c r="G48" s="1" t="s">
        <v>32</v>
      </c>
      <c r="H48" s="1">
        <v>1</v>
      </c>
      <c r="I48" s="1">
        <v>1769.93</v>
      </c>
      <c r="J48" s="1">
        <v>1415.94</v>
      </c>
      <c r="L48" s="1" t="s">
        <v>10</v>
      </c>
      <c r="M48" s="1">
        <v>1614</v>
      </c>
      <c r="N48" s="1" t="str" cm="1">
        <f t="array" ref="N48:S48">_xlfn.XLOOKUP(L48&amp;M48,D1:D501&amp;B1:B501,E1:J501)</f>
        <v>Debit Card</v>
      </c>
      <c r="O48" s="3" t="str">
        <v>T-Shirt</v>
      </c>
      <c r="P48" s="1" t="str">
        <v>BrandD</v>
      </c>
      <c r="Q48" s="1">
        <v>5</v>
      </c>
      <c r="R48" s="1">
        <v>1098.04</v>
      </c>
      <c r="S48" s="1">
        <v>4666.67</v>
      </c>
    </row>
    <row r="49" spans="1:15" x14ac:dyDescent="0.3">
      <c r="A49" s="1">
        <v>10048</v>
      </c>
      <c r="B49" s="1">
        <v>1189</v>
      </c>
      <c r="C49" s="2">
        <v>45021</v>
      </c>
      <c r="D49" s="1" t="s">
        <v>15</v>
      </c>
      <c r="E49" s="1" t="s">
        <v>29</v>
      </c>
      <c r="F49" s="1" t="s">
        <v>46</v>
      </c>
      <c r="G49" s="1" t="s">
        <v>18</v>
      </c>
      <c r="H49" s="1">
        <v>5</v>
      </c>
      <c r="I49" s="1">
        <v>2466.48</v>
      </c>
      <c r="J49" s="1">
        <v>11715.78</v>
      </c>
      <c r="O49" s="7"/>
    </row>
    <row r="50" spans="1:15" x14ac:dyDescent="0.3">
      <c r="A50" s="1">
        <v>10049</v>
      </c>
      <c r="B50" s="1">
        <v>1957</v>
      </c>
      <c r="C50" s="2">
        <v>45014</v>
      </c>
      <c r="D50" s="1" t="s">
        <v>31</v>
      </c>
      <c r="E50" s="1" t="s">
        <v>12</v>
      </c>
      <c r="F50" s="1" t="s">
        <v>17</v>
      </c>
      <c r="G50" s="1" t="s">
        <v>14</v>
      </c>
      <c r="H50" s="1">
        <v>6</v>
      </c>
      <c r="I50" s="1">
        <v>3757.87</v>
      </c>
      <c r="J50" s="1">
        <v>19165.14</v>
      </c>
      <c r="O50" s="3"/>
    </row>
    <row r="51" spans="1:15" x14ac:dyDescent="0.3">
      <c r="A51" s="1">
        <v>10050</v>
      </c>
      <c r="B51" s="1">
        <v>1686</v>
      </c>
      <c r="C51" s="2">
        <v>44970</v>
      </c>
      <c r="D51" s="1" t="s">
        <v>26</v>
      </c>
      <c r="E51" s="1" t="s">
        <v>27</v>
      </c>
      <c r="F51" s="1" t="s">
        <v>42</v>
      </c>
      <c r="G51" s="1" t="s">
        <v>18</v>
      </c>
      <c r="H51" s="1">
        <v>6</v>
      </c>
      <c r="I51" s="1">
        <v>1350.44</v>
      </c>
      <c r="J51" s="1">
        <v>6482.11</v>
      </c>
      <c r="O51" s="3"/>
    </row>
    <row r="52" spans="1:15" x14ac:dyDescent="0.3">
      <c r="A52" s="1">
        <v>10051</v>
      </c>
      <c r="B52" s="1">
        <v>1957</v>
      </c>
      <c r="C52" s="2">
        <v>45204</v>
      </c>
      <c r="D52" s="1" t="s">
        <v>26</v>
      </c>
      <c r="E52" s="1" t="s">
        <v>22</v>
      </c>
      <c r="F52" s="1" t="s">
        <v>47</v>
      </c>
      <c r="G52" s="1" t="s">
        <v>32</v>
      </c>
      <c r="H52" s="1">
        <v>5</v>
      </c>
      <c r="I52" s="1">
        <v>1111.6199999999999</v>
      </c>
      <c r="J52" s="1">
        <v>4724.3900000000003</v>
      </c>
      <c r="O52" s="3"/>
    </row>
    <row r="53" spans="1:15" x14ac:dyDescent="0.3">
      <c r="A53" s="1">
        <v>10052</v>
      </c>
      <c r="B53" s="1">
        <v>1562</v>
      </c>
      <c r="C53" s="2">
        <v>45097</v>
      </c>
      <c r="D53" s="1" t="s">
        <v>15</v>
      </c>
      <c r="E53" s="1" t="s">
        <v>22</v>
      </c>
      <c r="F53" s="1" t="s">
        <v>43</v>
      </c>
      <c r="G53" s="1" t="s">
        <v>20</v>
      </c>
      <c r="H53" s="1">
        <v>3</v>
      </c>
      <c r="I53" s="1">
        <v>2668.52</v>
      </c>
      <c r="J53" s="1">
        <v>7605.28</v>
      </c>
    </row>
    <row r="54" spans="1:15" x14ac:dyDescent="0.3">
      <c r="A54" s="1">
        <v>10053</v>
      </c>
      <c r="B54" s="1">
        <v>1875</v>
      </c>
      <c r="C54" s="2">
        <v>45115</v>
      </c>
      <c r="D54" s="1" t="s">
        <v>31</v>
      </c>
      <c r="E54" s="1" t="s">
        <v>22</v>
      </c>
      <c r="F54" s="1" t="s">
        <v>45</v>
      </c>
      <c r="G54" s="1" t="s">
        <v>14</v>
      </c>
      <c r="H54" s="1">
        <v>5</v>
      </c>
      <c r="I54" s="1">
        <v>2534.0700000000002</v>
      </c>
      <c r="J54" s="1">
        <v>11403.31</v>
      </c>
    </row>
    <row r="55" spans="1:15" x14ac:dyDescent="0.3">
      <c r="A55" s="1">
        <v>10054</v>
      </c>
      <c r="B55" s="1">
        <v>1566</v>
      </c>
      <c r="C55" s="2">
        <v>45279</v>
      </c>
      <c r="D55" s="1" t="s">
        <v>26</v>
      </c>
      <c r="E55" s="1" t="s">
        <v>16</v>
      </c>
      <c r="F55" s="1" t="s">
        <v>34</v>
      </c>
      <c r="G55" s="1" t="s">
        <v>14</v>
      </c>
      <c r="H55" s="1">
        <v>8</v>
      </c>
      <c r="I55" s="1">
        <v>1428.62</v>
      </c>
      <c r="J55" s="1">
        <v>10286.06</v>
      </c>
    </row>
    <row r="56" spans="1:15" x14ac:dyDescent="0.3">
      <c r="A56" s="1">
        <v>10055</v>
      </c>
      <c r="B56" s="1">
        <v>1243</v>
      </c>
      <c r="C56" s="2">
        <v>45110</v>
      </c>
      <c r="D56" s="1" t="s">
        <v>24</v>
      </c>
      <c r="E56" s="1" t="s">
        <v>12</v>
      </c>
      <c r="F56" s="1" t="s">
        <v>45</v>
      </c>
      <c r="G56" s="1" t="s">
        <v>30</v>
      </c>
      <c r="H56" s="1">
        <v>2</v>
      </c>
      <c r="I56" s="1">
        <v>3723.19</v>
      </c>
      <c r="J56" s="1">
        <v>7074.06</v>
      </c>
    </row>
    <row r="57" spans="1:15" x14ac:dyDescent="0.3">
      <c r="A57" s="1">
        <v>10056</v>
      </c>
      <c r="B57" s="1">
        <v>1831</v>
      </c>
      <c r="C57" s="2">
        <v>44929</v>
      </c>
      <c r="D57" s="1" t="s">
        <v>24</v>
      </c>
      <c r="E57" s="1" t="s">
        <v>27</v>
      </c>
      <c r="F57" s="1" t="s">
        <v>43</v>
      </c>
      <c r="G57" s="1" t="s">
        <v>30</v>
      </c>
      <c r="H57" s="1">
        <v>6</v>
      </c>
      <c r="I57" s="1">
        <v>3402.72</v>
      </c>
      <c r="J57" s="1">
        <v>17353.87</v>
      </c>
    </row>
    <row r="58" spans="1:15" x14ac:dyDescent="0.3">
      <c r="A58" s="1">
        <v>10057</v>
      </c>
      <c r="B58" s="1">
        <v>1504</v>
      </c>
      <c r="C58" s="2">
        <v>45117</v>
      </c>
      <c r="D58" s="1" t="s">
        <v>24</v>
      </c>
      <c r="E58" s="1" t="s">
        <v>16</v>
      </c>
      <c r="F58" s="1" t="s">
        <v>39</v>
      </c>
      <c r="G58" s="1" t="s">
        <v>20</v>
      </c>
      <c r="H58" s="1">
        <v>9</v>
      </c>
      <c r="I58" s="1">
        <v>1012.33</v>
      </c>
      <c r="J58" s="1">
        <v>7288.78</v>
      </c>
    </row>
    <row r="59" spans="1:15" x14ac:dyDescent="0.3">
      <c r="A59" s="1">
        <v>10058</v>
      </c>
      <c r="B59" s="1">
        <v>1130</v>
      </c>
      <c r="C59" s="2">
        <v>45044</v>
      </c>
      <c r="D59" s="1" t="s">
        <v>31</v>
      </c>
      <c r="E59" s="1" t="s">
        <v>29</v>
      </c>
      <c r="F59" s="1" t="s">
        <v>40</v>
      </c>
      <c r="G59" s="1" t="s">
        <v>14</v>
      </c>
      <c r="H59" s="1">
        <v>8</v>
      </c>
      <c r="I59" s="1">
        <v>1070.7</v>
      </c>
      <c r="J59" s="1">
        <v>8137.32</v>
      </c>
    </row>
    <row r="60" spans="1:15" x14ac:dyDescent="0.3">
      <c r="A60" s="1">
        <v>10059</v>
      </c>
      <c r="B60" s="1">
        <v>1484</v>
      </c>
      <c r="C60" s="2">
        <v>44945</v>
      </c>
      <c r="D60" s="1" t="s">
        <v>26</v>
      </c>
      <c r="E60" s="1" t="s">
        <v>27</v>
      </c>
      <c r="F60" s="1" t="s">
        <v>45</v>
      </c>
      <c r="G60" s="1" t="s">
        <v>20</v>
      </c>
      <c r="H60" s="1">
        <v>8</v>
      </c>
      <c r="I60" s="1">
        <v>2122.36</v>
      </c>
      <c r="J60" s="1">
        <v>16978.88</v>
      </c>
    </row>
    <row r="61" spans="1:15" x14ac:dyDescent="0.3">
      <c r="A61" s="1">
        <v>10060</v>
      </c>
      <c r="B61" s="1">
        <v>1818</v>
      </c>
      <c r="C61" s="2">
        <v>44949</v>
      </c>
      <c r="D61" s="1" t="s">
        <v>31</v>
      </c>
      <c r="E61" s="1" t="s">
        <v>27</v>
      </c>
      <c r="F61" s="1" t="s">
        <v>43</v>
      </c>
      <c r="G61" s="1" t="s">
        <v>30</v>
      </c>
      <c r="H61" s="1">
        <v>8</v>
      </c>
      <c r="I61" s="1">
        <v>3128.25</v>
      </c>
      <c r="J61" s="1">
        <v>21272.1</v>
      </c>
    </row>
    <row r="62" spans="1:15" x14ac:dyDescent="0.3">
      <c r="A62" s="1">
        <v>10061</v>
      </c>
      <c r="B62" s="1">
        <v>1646</v>
      </c>
      <c r="C62" s="2">
        <v>44956</v>
      </c>
      <c r="D62" s="1" t="s">
        <v>24</v>
      </c>
      <c r="E62" s="1" t="s">
        <v>27</v>
      </c>
      <c r="F62" s="1" t="s">
        <v>23</v>
      </c>
      <c r="G62" s="1" t="s">
        <v>30</v>
      </c>
      <c r="H62" s="1">
        <v>7</v>
      </c>
      <c r="I62" s="1">
        <v>319.56</v>
      </c>
      <c r="J62" s="1">
        <v>2013.23</v>
      </c>
    </row>
    <row r="63" spans="1:15" x14ac:dyDescent="0.3">
      <c r="A63" s="1">
        <v>10062</v>
      </c>
      <c r="B63" s="1">
        <v>1020</v>
      </c>
      <c r="C63" s="2">
        <v>45221</v>
      </c>
      <c r="D63" s="1" t="s">
        <v>15</v>
      </c>
      <c r="E63" s="1" t="s">
        <v>22</v>
      </c>
      <c r="F63" s="1" t="s">
        <v>38</v>
      </c>
      <c r="G63" s="1" t="s">
        <v>14</v>
      </c>
      <c r="H63" s="1">
        <v>8</v>
      </c>
      <c r="I63" s="1">
        <v>2819.34</v>
      </c>
      <c r="J63" s="1">
        <v>21426.98</v>
      </c>
    </row>
    <row r="64" spans="1:15" x14ac:dyDescent="0.3">
      <c r="A64" s="1">
        <v>10063</v>
      </c>
      <c r="B64" s="1">
        <v>1840</v>
      </c>
      <c r="C64" s="2">
        <v>45034</v>
      </c>
      <c r="D64" s="1" t="s">
        <v>26</v>
      </c>
      <c r="E64" s="1" t="s">
        <v>27</v>
      </c>
      <c r="F64" s="1" t="s">
        <v>43</v>
      </c>
      <c r="G64" s="1" t="s">
        <v>18</v>
      </c>
      <c r="H64" s="1">
        <v>6</v>
      </c>
      <c r="I64" s="1">
        <v>2645.71</v>
      </c>
      <c r="J64" s="1">
        <v>14286.83</v>
      </c>
    </row>
    <row r="65" spans="1:10" x14ac:dyDescent="0.3">
      <c r="A65" s="1">
        <v>10064</v>
      </c>
      <c r="B65" s="1">
        <v>1166</v>
      </c>
      <c r="C65" s="2">
        <v>45207</v>
      </c>
      <c r="D65" s="1" t="s">
        <v>26</v>
      </c>
      <c r="E65" s="1" t="s">
        <v>12</v>
      </c>
      <c r="F65" s="1" t="s">
        <v>23</v>
      </c>
      <c r="G65" s="1" t="s">
        <v>32</v>
      </c>
      <c r="H65" s="1">
        <v>2</v>
      </c>
      <c r="I65" s="1">
        <v>1041.2</v>
      </c>
      <c r="J65" s="1">
        <v>1770.04</v>
      </c>
    </row>
    <row r="66" spans="1:10" x14ac:dyDescent="0.3">
      <c r="A66" s="1">
        <v>10065</v>
      </c>
      <c r="B66" s="1">
        <v>1273</v>
      </c>
      <c r="C66" s="2">
        <v>45054</v>
      </c>
      <c r="D66" s="1" t="s">
        <v>10</v>
      </c>
      <c r="E66" s="1" t="s">
        <v>27</v>
      </c>
      <c r="F66" s="1" t="s">
        <v>28</v>
      </c>
      <c r="G66" s="1" t="s">
        <v>30</v>
      </c>
      <c r="H66" s="1">
        <v>2</v>
      </c>
      <c r="I66" s="1">
        <v>2773.21</v>
      </c>
      <c r="J66" s="1">
        <v>4991.78</v>
      </c>
    </row>
    <row r="67" spans="1:10" x14ac:dyDescent="0.3">
      <c r="A67" s="1">
        <v>10066</v>
      </c>
      <c r="B67" s="1">
        <v>1387</v>
      </c>
      <c r="C67" s="2">
        <v>45155</v>
      </c>
      <c r="D67" s="1" t="s">
        <v>10</v>
      </c>
      <c r="E67" s="1" t="s">
        <v>22</v>
      </c>
      <c r="F67" s="1" t="s">
        <v>48</v>
      </c>
      <c r="G67" s="1" t="s">
        <v>30</v>
      </c>
      <c r="H67" s="1">
        <v>8</v>
      </c>
      <c r="I67" s="1">
        <v>3769.71</v>
      </c>
      <c r="J67" s="1">
        <v>28649.8</v>
      </c>
    </row>
    <row r="68" spans="1:10" x14ac:dyDescent="0.3">
      <c r="A68" s="1">
        <v>10067</v>
      </c>
      <c r="B68" s="1">
        <v>1600</v>
      </c>
      <c r="C68" s="2">
        <v>45037</v>
      </c>
      <c r="D68" s="1" t="s">
        <v>11</v>
      </c>
      <c r="E68" s="1" t="s">
        <v>27</v>
      </c>
      <c r="F68" s="1" t="s">
        <v>45</v>
      </c>
      <c r="G68" s="1" t="s">
        <v>18</v>
      </c>
      <c r="H68" s="1">
        <v>1</v>
      </c>
      <c r="I68" s="1">
        <v>330.13</v>
      </c>
      <c r="J68" s="1">
        <v>280.61</v>
      </c>
    </row>
    <row r="69" spans="1:10" x14ac:dyDescent="0.3">
      <c r="A69" s="1">
        <v>10068</v>
      </c>
      <c r="B69" s="1">
        <v>1315</v>
      </c>
      <c r="C69" s="2">
        <v>45062</v>
      </c>
      <c r="D69" s="1" t="s">
        <v>21</v>
      </c>
      <c r="E69" s="1" t="s">
        <v>29</v>
      </c>
      <c r="F69" s="1" t="s">
        <v>33</v>
      </c>
      <c r="G69" s="1" t="s">
        <v>18</v>
      </c>
      <c r="H69" s="1">
        <v>6</v>
      </c>
      <c r="I69" s="1">
        <v>1380.66</v>
      </c>
      <c r="J69" s="1">
        <v>8283.9599999999991</v>
      </c>
    </row>
    <row r="70" spans="1:10" x14ac:dyDescent="0.3">
      <c r="A70" s="1">
        <v>10069</v>
      </c>
      <c r="B70" s="1">
        <v>1013</v>
      </c>
      <c r="C70" s="2">
        <v>45288</v>
      </c>
      <c r="D70" s="1" t="s">
        <v>10</v>
      </c>
      <c r="E70" s="1" t="s">
        <v>29</v>
      </c>
      <c r="F70" s="1" t="s">
        <v>43</v>
      </c>
      <c r="G70" s="1" t="s">
        <v>20</v>
      </c>
      <c r="H70" s="1">
        <v>6</v>
      </c>
      <c r="I70" s="1">
        <v>1836.98</v>
      </c>
      <c r="J70" s="1">
        <v>10470.790000000001</v>
      </c>
    </row>
    <row r="71" spans="1:10" x14ac:dyDescent="0.3">
      <c r="A71" s="1">
        <v>10070</v>
      </c>
      <c r="B71" s="1">
        <v>1241</v>
      </c>
      <c r="C71" s="2">
        <v>45112</v>
      </c>
      <c r="D71" s="1" t="s">
        <v>31</v>
      </c>
      <c r="E71" s="1" t="s">
        <v>22</v>
      </c>
      <c r="F71" s="1" t="s">
        <v>25</v>
      </c>
      <c r="G71" s="1" t="s">
        <v>20</v>
      </c>
      <c r="H71" s="1">
        <v>4</v>
      </c>
      <c r="I71" s="1">
        <v>3612.15</v>
      </c>
      <c r="J71" s="1">
        <v>11558.88</v>
      </c>
    </row>
    <row r="72" spans="1:10" x14ac:dyDescent="0.3">
      <c r="A72" s="1">
        <v>10071</v>
      </c>
      <c r="B72" s="1">
        <v>1776</v>
      </c>
      <c r="C72" s="2">
        <v>45070</v>
      </c>
      <c r="D72" s="1" t="s">
        <v>10</v>
      </c>
      <c r="E72" s="1" t="s">
        <v>12</v>
      </c>
      <c r="F72" s="1" t="s">
        <v>42</v>
      </c>
      <c r="G72" s="1" t="s">
        <v>32</v>
      </c>
      <c r="H72" s="1">
        <v>3</v>
      </c>
      <c r="I72" s="1">
        <v>3854.71</v>
      </c>
      <c r="J72" s="1">
        <v>10985.92</v>
      </c>
    </row>
    <row r="73" spans="1:10" x14ac:dyDescent="0.3">
      <c r="A73" s="1">
        <v>10072</v>
      </c>
      <c r="B73" s="1">
        <v>1345</v>
      </c>
      <c r="C73" s="2">
        <v>44998</v>
      </c>
      <c r="D73" s="1" t="s">
        <v>11</v>
      </c>
      <c r="E73" s="1" t="s">
        <v>12</v>
      </c>
      <c r="F73" s="1" t="s">
        <v>37</v>
      </c>
      <c r="G73" s="1" t="s">
        <v>32</v>
      </c>
      <c r="H73" s="1">
        <v>3</v>
      </c>
      <c r="I73" s="1">
        <v>1859.84</v>
      </c>
      <c r="J73" s="1">
        <v>4742.59</v>
      </c>
    </row>
    <row r="74" spans="1:10" x14ac:dyDescent="0.3">
      <c r="A74" s="1">
        <v>10073</v>
      </c>
      <c r="B74" s="1">
        <v>1564</v>
      </c>
      <c r="C74" s="2">
        <v>45055</v>
      </c>
      <c r="D74" s="1" t="s">
        <v>26</v>
      </c>
      <c r="E74" s="1" t="s">
        <v>16</v>
      </c>
      <c r="F74" s="1" t="s">
        <v>49</v>
      </c>
      <c r="G74" s="1" t="s">
        <v>14</v>
      </c>
      <c r="H74" s="1">
        <v>1</v>
      </c>
      <c r="I74" s="1">
        <v>3037.61</v>
      </c>
      <c r="J74" s="1">
        <v>2885.73</v>
      </c>
    </row>
    <row r="75" spans="1:10" x14ac:dyDescent="0.3">
      <c r="A75" s="1">
        <v>10074</v>
      </c>
      <c r="B75" s="1">
        <v>1897</v>
      </c>
      <c r="C75" s="2">
        <v>45290</v>
      </c>
      <c r="D75" s="1" t="s">
        <v>11</v>
      </c>
      <c r="E75" s="1" t="s">
        <v>22</v>
      </c>
      <c r="F75" s="1" t="s">
        <v>28</v>
      </c>
      <c r="G75" s="1" t="s">
        <v>20</v>
      </c>
      <c r="H75" s="1">
        <v>3</v>
      </c>
      <c r="I75" s="1">
        <v>2196.89</v>
      </c>
      <c r="J75" s="1">
        <v>6590.67</v>
      </c>
    </row>
    <row r="76" spans="1:10" x14ac:dyDescent="0.3">
      <c r="A76" s="1">
        <v>10075</v>
      </c>
      <c r="B76" s="1">
        <v>1339</v>
      </c>
      <c r="C76" s="2">
        <v>45187</v>
      </c>
      <c r="D76" s="1" t="s">
        <v>26</v>
      </c>
      <c r="E76" s="1" t="s">
        <v>27</v>
      </c>
      <c r="F76" s="1" t="s">
        <v>39</v>
      </c>
      <c r="G76" s="1" t="s">
        <v>30</v>
      </c>
      <c r="H76" s="1">
        <v>4</v>
      </c>
      <c r="I76" s="1">
        <v>2220.46</v>
      </c>
      <c r="J76" s="1">
        <v>8881.84</v>
      </c>
    </row>
    <row r="77" spans="1:10" x14ac:dyDescent="0.3">
      <c r="A77" s="1">
        <v>10076</v>
      </c>
      <c r="B77" s="1">
        <v>1091</v>
      </c>
      <c r="C77" s="2">
        <v>44929</v>
      </c>
      <c r="D77" s="1" t="s">
        <v>15</v>
      </c>
      <c r="E77" s="1" t="s">
        <v>22</v>
      </c>
      <c r="F77" s="1" t="s">
        <v>25</v>
      </c>
      <c r="G77" s="1" t="s">
        <v>20</v>
      </c>
      <c r="H77" s="1">
        <v>5</v>
      </c>
      <c r="I77" s="1">
        <v>1220.68</v>
      </c>
      <c r="J77" s="1">
        <v>4882.72</v>
      </c>
    </row>
    <row r="78" spans="1:10" x14ac:dyDescent="0.3">
      <c r="A78" s="1">
        <v>10077</v>
      </c>
      <c r="B78" s="1">
        <v>1366</v>
      </c>
      <c r="C78" s="2">
        <v>45030</v>
      </c>
      <c r="D78" s="1" t="s">
        <v>15</v>
      </c>
      <c r="E78" s="1" t="s">
        <v>16</v>
      </c>
      <c r="F78" s="1" t="s">
        <v>19</v>
      </c>
      <c r="G78" s="1" t="s">
        <v>30</v>
      </c>
      <c r="H78" s="1">
        <v>3</v>
      </c>
      <c r="I78" s="1">
        <v>985.28</v>
      </c>
      <c r="J78" s="1">
        <v>2660.26</v>
      </c>
    </row>
    <row r="79" spans="1:10" x14ac:dyDescent="0.3">
      <c r="A79" s="1">
        <v>10078</v>
      </c>
      <c r="B79" s="1">
        <v>1955</v>
      </c>
      <c r="C79" s="2">
        <v>45150</v>
      </c>
      <c r="D79" s="1" t="s">
        <v>26</v>
      </c>
      <c r="E79" s="1" t="s">
        <v>22</v>
      </c>
      <c r="F79" s="1" t="s">
        <v>41</v>
      </c>
      <c r="G79" s="1" t="s">
        <v>18</v>
      </c>
      <c r="H79" s="1">
        <v>6</v>
      </c>
      <c r="I79" s="1">
        <v>1258.82</v>
      </c>
      <c r="J79" s="1">
        <v>6419.98</v>
      </c>
    </row>
    <row r="80" spans="1:10" x14ac:dyDescent="0.3">
      <c r="A80" s="1">
        <v>10079</v>
      </c>
      <c r="B80" s="1">
        <v>1454</v>
      </c>
      <c r="C80" s="2">
        <v>45246</v>
      </c>
      <c r="D80" s="1" t="s">
        <v>21</v>
      </c>
      <c r="E80" s="1" t="s">
        <v>22</v>
      </c>
      <c r="F80" s="1" t="s">
        <v>19</v>
      </c>
      <c r="G80" s="1" t="s">
        <v>20</v>
      </c>
      <c r="H80" s="1">
        <v>5</v>
      </c>
      <c r="I80" s="1">
        <v>2291.86</v>
      </c>
      <c r="J80" s="1">
        <v>9740.4</v>
      </c>
    </row>
    <row r="81" spans="1:10" x14ac:dyDescent="0.3">
      <c r="A81" s="1">
        <v>10080</v>
      </c>
      <c r="B81" s="1">
        <v>1427</v>
      </c>
      <c r="C81" s="2">
        <v>45288</v>
      </c>
      <c r="D81" s="1" t="s">
        <v>10</v>
      </c>
      <c r="E81" s="1" t="s">
        <v>16</v>
      </c>
      <c r="F81" s="1" t="s">
        <v>38</v>
      </c>
      <c r="G81" s="1" t="s">
        <v>18</v>
      </c>
      <c r="H81" s="1">
        <v>3</v>
      </c>
      <c r="I81" s="1">
        <v>262.25</v>
      </c>
      <c r="J81" s="1">
        <v>708.07</v>
      </c>
    </row>
    <row r="82" spans="1:10" x14ac:dyDescent="0.3">
      <c r="A82" s="1">
        <v>10081</v>
      </c>
      <c r="B82" s="1">
        <v>1508</v>
      </c>
      <c r="C82" s="2">
        <v>45280</v>
      </c>
      <c r="D82" s="1" t="s">
        <v>31</v>
      </c>
      <c r="E82" s="1" t="s">
        <v>12</v>
      </c>
      <c r="F82" s="1" t="s">
        <v>17</v>
      </c>
      <c r="G82" s="1" t="s">
        <v>32</v>
      </c>
      <c r="H82" s="1">
        <v>6</v>
      </c>
      <c r="I82" s="1">
        <v>3642.91</v>
      </c>
      <c r="J82" s="1">
        <v>21857.46</v>
      </c>
    </row>
    <row r="83" spans="1:10" x14ac:dyDescent="0.3">
      <c r="A83" s="1">
        <v>10082</v>
      </c>
      <c r="B83" s="1">
        <v>1775</v>
      </c>
      <c r="C83" s="2">
        <v>44936</v>
      </c>
      <c r="D83" s="1" t="s">
        <v>31</v>
      </c>
      <c r="E83" s="1" t="s">
        <v>27</v>
      </c>
      <c r="F83" s="1" t="s">
        <v>44</v>
      </c>
      <c r="G83" s="1" t="s">
        <v>32</v>
      </c>
      <c r="H83" s="1">
        <v>6</v>
      </c>
      <c r="I83" s="1">
        <v>751.69</v>
      </c>
      <c r="J83" s="1">
        <v>4510.1400000000003</v>
      </c>
    </row>
    <row r="84" spans="1:10" x14ac:dyDescent="0.3">
      <c r="A84" s="1">
        <v>10083</v>
      </c>
      <c r="B84" s="1">
        <v>1942</v>
      </c>
      <c r="C84" s="2">
        <v>45228</v>
      </c>
      <c r="D84" s="1" t="s">
        <v>24</v>
      </c>
      <c r="E84" s="1" t="s">
        <v>16</v>
      </c>
      <c r="F84" s="1" t="s">
        <v>43</v>
      </c>
      <c r="G84" s="1" t="s">
        <v>14</v>
      </c>
      <c r="H84" s="1">
        <v>8</v>
      </c>
      <c r="I84" s="1">
        <v>997.34</v>
      </c>
      <c r="J84" s="1">
        <v>7579.78</v>
      </c>
    </row>
    <row r="85" spans="1:10" x14ac:dyDescent="0.3">
      <c r="A85" s="1">
        <v>10084</v>
      </c>
      <c r="B85" s="1">
        <v>1034</v>
      </c>
      <c r="C85" s="2">
        <v>45157</v>
      </c>
      <c r="D85" s="1" t="s">
        <v>26</v>
      </c>
      <c r="E85" s="1" t="s">
        <v>29</v>
      </c>
      <c r="F85" s="1" t="s">
        <v>38</v>
      </c>
      <c r="G85" s="1" t="s">
        <v>20</v>
      </c>
      <c r="H85" s="1">
        <v>2</v>
      </c>
      <c r="I85" s="1">
        <v>2145.36</v>
      </c>
      <c r="J85" s="1">
        <v>3432.58</v>
      </c>
    </row>
    <row r="86" spans="1:10" x14ac:dyDescent="0.3">
      <c r="A86" s="1">
        <v>10085</v>
      </c>
      <c r="B86" s="1">
        <v>1205</v>
      </c>
      <c r="C86" s="2">
        <v>45145</v>
      </c>
      <c r="D86" s="1" t="s">
        <v>31</v>
      </c>
      <c r="E86" s="1" t="s">
        <v>12</v>
      </c>
      <c r="F86" s="1" t="s">
        <v>34</v>
      </c>
      <c r="G86" s="1" t="s">
        <v>18</v>
      </c>
      <c r="H86" s="1">
        <v>1</v>
      </c>
      <c r="I86" s="1">
        <v>2883.94</v>
      </c>
      <c r="J86" s="1">
        <v>2307.15</v>
      </c>
    </row>
    <row r="87" spans="1:10" x14ac:dyDescent="0.3">
      <c r="A87" s="1">
        <v>10086</v>
      </c>
      <c r="B87" s="1">
        <v>1080</v>
      </c>
      <c r="C87" s="2">
        <v>44992</v>
      </c>
      <c r="D87" s="1" t="s">
        <v>21</v>
      </c>
      <c r="E87" s="1" t="s">
        <v>29</v>
      </c>
      <c r="F87" s="1" t="s">
        <v>46</v>
      </c>
      <c r="G87" s="1" t="s">
        <v>30</v>
      </c>
      <c r="H87" s="1">
        <v>4</v>
      </c>
      <c r="I87" s="1">
        <v>518.55999999999995</v>
      </c>
      <c r="J87" s="1">
        <v>1659.39</v>
      </c>
    </row>
    <row r="88" spans="1:10" x14ac:dyDescent="0.3">
      <c r="A88" s="1">
        <v>10087</v>
      </c>
      <c r="B88" s="1">
        <v>1931</v>
      </c>
      <c r="C88" s="2">
        <v>45038</v>
      </c>
      <c r="D88" s="1" t="s">
        <v>26</v>
      </c>
      <c r="E88" s="1" t="s">
        <v>12</v>
      </c>
      <c r="F88" s="1" t="s">
        <v>25</v>
      </c>
      <c r="G88" s="1" t="s">
        <v>32</v>
      </c>
      <c r="H88" s="1">
        <v>7</v>
      </c>
      <c r="I88" s="1">
        <v>1373.12</v>
      </c>
      <c r="J88" s="1">
        <v>9131.25</v>
      </c>
    </row>
    <row r="89" spans="1:10" x14ac:dyDescent="0.3">
      <c r="A89" s="1">
        <v>10088</v>
      </c>
      <c r="B89" s="1">
        <v>1561</v>
      </c>
      <c r="C89" s="2">
        <v>44939</v>
      </c>
      <c r="D89" s="1" t="s">
        <v>21</v>
      </c>
      <c r="E89" s="1" t="s">
        <v>27</v>
      </c>
      <c r="F89" s="1" t="s">
        <v>44</v>
      </c>
      <c r="G89" s="1" t="s">
        <v>32</v>
      </c>
      <c r="H89" s="1">
        <v>3</v>
      </c>
      <c r="I89" s="1">
        <v>3879.4</v>
      </c>
      <c r="J89" s="1">
        <v>9310.56</v>
      </c>
    </row>
    <row r="90" spans="1:10" x14ac:dyDescent="0.3">
      <c r="A90" s="1">
        <v>10089</v>
      </c>
      <c r="B90" s="1">
        <v>1871</v>
      </c>
      <c r="C90" s="2">
        <v>45012</v>
      </c>
      <c r="D90" s="1" t="s">
        <v>31</v>
      </c>
      <c r="E90" s="1" t="s">
        <v>27</v>
      </c>
      <c r="F90" s="1" t="s">
        <v>33</v>
      </c>
      <c r="G90" s="1" t="s">
        <v>30</v>
      </c>
      <c r="H90" s="1">
        <v>3</v>
      </c>
      <c r="I90" s="1">
        <v>1160.02</v>
      </c>
      <c r="J90" s="1">
        <v>3132.05</v>
      </c>
    </row>
    <row r="91" spans="1:10" x14ac:dyDescent="0.3">
      <c r="A91" s="1">
        <v>10090</v>
      </c>
      <c r="B91" s="1">
        <v>1387</v>
      </c>
      <c r="C91" s="2">
        <v>45160</v>
      </c>
      <c r="D91" s="1" t="s">
        <v>31</v>
      </c>
      <c r="E91" s="1" t="s">
        <v>22</v>
      </c>
      <c r="F91" s="1" t="s">
        <v>17</v>
      </c>
      <c r="G91" s="1" t="s">
        <v>18</v>
      </c>
      <c r="H91" s="1">
        <v>5</v>
      </c>
      <c r="I91" s="1">
        <v>1355.24</v>
      </c>
      <c r="J91" s="1">
        <v>6437.39</v>
      </c>
    </row>
    <row r="92" spans="1:10" x14ac:dyDescent="0.3">
      <c r="A92" s="1">
        <v>10091</v>
      </c>
      <c r="B92" s="1">
        <v>1001</v>
      </c>
      <c r="C92" s="2">
        <v>45016</v>
      </c>
      <c r="D92" s="1" t="s">
        <v>24</v>
      </c>
      <c r="E92" s="1" t="s">
        <v>29</v>
      </c>
      <c r="F92" s="1" t="s">
        <v>17</v>
      </c>
      <c r="G92" s="1" t="s">
        <v>18</v>
      </c>
      <c r="H92" s="1">
        <v>5</v>
      </c>
      <c r="I92" s="1">
        <v>3370.52</v>
      </c>
      <c r="J92" s="1">
        <v>15167.34</v>
      </c>
    </row>
    <row r="93" spans="1:10" x14ac:dyDescent="0.3">
      <c r="A93" s="1">
        <v>10092</v>
      </c>
      <c r="B93" s="1">
        <v>1389</v>
      </c>
      <c r="C93" s="2">
        <v>45240</v>
      </c>
      <c r="D93" s="1" t="s">
        <v>31</v>
      </c>
      <c r="E93" s="1" t="s">
        <v>12</v>
      </c>
      <c r="F93" s="1" t="s">
        <v>34</v>
      </c>
      <c r="G93" s="1" t="s">
        <v>20</v>
      </c>
      <c r="H93" s="1">
        <v>3</v>
      </c>
      <c r="I93" s="1">
        <v>343.33</v>
      </c>
      <c r="J93" s="1">
        <v>978.49</v>
      </c>
    </row>
    <row r="94" spans="1:10" x14ac:dyDescent="0.3">
      <c r="A94" s="1">
        <v>10093</v>
      </c>
      <c r="B94" s="1">
        <v>1565</v>
      </c>
      <c r="C94" s="2">
        <v>44980</v>
      </c>
      <c r="D94" s="1" t="s">
        <v>26</v>
      </c>
      <c r="E94" s="1" t="s">
        <v>27</v>
      </c>
      <c r="F94" s="1" t="s">
        <v>38</v>
      </c>
      <c r="G94" s="1" t="s">
        <v>20</v>
      </c>
      <c r="H94" s="1">
        <v>9</v>
      </c>
      <c r="I94" s="1">
        <v>1938.76</v>
      </c>
      <c r="J94" s="1">
        <v>13959.07</v>
      </c>
    </row>
    <row r="95" spans="1:10" x14ac:dyDescent="0.3">
      <c r="A95" s="1">
        <v>10094</v>
      </c>
      <c r="B95" s="1">
        <v>1105</v>
      </c>
      <c r="C95" s="2">
        <v>44938</v>
      </c>
      <c r="D95" s="1" t="s">
        <v>15</v>
      </c>
      <c r="E95" s="1" t="s">
        <v>16</v>
      </c>
      <c r="F95" s="1" t="s">
        <v>41</v>
      </c>
      <c r="G95" s="1" t="s">
        <v>14</v>
      </c>
      <c r="H95" s="1">
        <v>4</v>
      </c>
      <c r="I95" s="1">
        <v>1611.52</v>
      </c>
      <c r="J95" s="1">
        <v>5801.47</v>
      </c>
    </row>
    <row r="96" spans="1:10" x14ac:dyDescent="0.3">
      <c r="A96" s="1">
        <v>10095</v>
      </c>
      <c r="B96" s="1">
        <v>1771</v>
      </c>
      <c r="C96" s="2">
        <v>45135</v>
      </c>
      <c r="D96" s="1" t="s">
        <v>26</v>
      </c>
      <c r="E96" s="1" t="s">
        <v>27</v>
      </c>
      <c r="F96" s="1" t="s">
        <v>34</v>
      </c>
      <c r="G96" s="1" t="s">
        <v>32</v>
      </c>
      <c r="H96" s="1">
        <v>3</v>
      </c>
      <c r="I96" s="1">
        <v>1368.86</v>
      </c>
      <c r="J96" s="1">
        <v>3695.92</v>
      </c>
    </row>
    <row r="97" spans="1:10" x14ac:dyDescent="0.3">
      <c r="A97" s="1">
        <v>10096</v>
      </c>
      <c r="B97" s="1">
        <v>1821</v>
      </c>
      <c r="C97" s="2">
        <v>44940</v>
      </c>
      <c r="D97" s="1" t="s">
        <v>26</v>
      </c>
      <c r="E97" s="1" t="s">
        <v>16</v>
      </c>
      <c r="F97" s="1" t="s">
        <v>41</v>
      </c>
      <c r="G97" s="1" t="s">
        <v>20</v>
      </c>
      <c r="H97" s="1">
        <v>2</v>
      </c>
      <c r="I97" s="1">
        <v>1249.94</v>
      </c>
      <c r="J97" s="1">
        <v>2249.89</v>
      </c>
    </row>
    <row r="98" spans="1:10" x14ac:dyDescent="0.3">
      <c r="A98" s="1">
        <v>10097</v>
      </c>
      <c r="B98" s="1">
        <v>1476</v>
      </c>
      <c r="C98" s="2">
        <v>45047</v>
      </c>
      <c r="D98" s="1" t="s">
        <v>24</v>
      </c>
      <c r="E98" s="1" t="s">
        <v>12</v>
      </c>
      <c r="F98" s="1" t="s">
        <v>41</v>
      </c>
      <c r="G98" s="1" t="s">
        <v>18</v>
      </c>
      <c r="H98" s="1">
        <v>9</v>
      </c>
      <c r="I98" s="1">
        <v>501.79</v>
      </c>
      <c r="J98" s="1">
        <v>4290.3</v>
      </c>
    </row>
    <row r="99" spans="1:10" x14ac:dyDescent="0.3">
      <c r="A99" s="1">
        <v>10098</v>
      </c>
      <c r="B99" s="1">
        <v>1702</v>
      </c>
      <c r="C99" s="2">
        <v>44946</v>
      </c>
      <c r="D99" s="1" t="s">
        <v>24</v>
      </c>
      <c r="E99" s="1" t="s">
        <v>27</v>
      </c>
      <c r="F99" s="1" t="s">
        <v>23</v>
      </c>
      <c r="G99" s="1" t="s">
        <v>30</v>
      </c>
      <c r="H99" s="1">
        <v>4</v>
      </c>
      <c r="I99" s="1">
        <v>1362.08</v>
      </c>
      <c r="J99" s="1">
        <v>4631.07</v>
      </c>
    </row>
    <row r="100" spans="1:10" x14ac:dyDescent="0.3">
      <c r="A100" s="1">
        <v>10099</v>
      </c>
      <c r="B100" s="1">
        <v>1401</v>
      </c>
      <c r="C100" s="2">
        <v>45001</v>
      </c>
      <c r="D100" s="1" t="s">
        <v>31</v>
      </c>
      <c r="E100" s="1" t="s">
        <v>27</v>
      </c>
      <c r="F100" s="1" t="s">
        <v>36</v>
      </c>
      <c r="G100" s="1" t="s">
        <v>18</v>
      </c>
      <c r="H100" s="1">
        <v>3</v>
      </c>
      <c r="I100" s="1">
        <v>315.75</v>
      </c>
      <c r="J100" s="1">
        <v>757.8</v>
      </c>
    </row>
    <row r="101" spans="1:10" x14ac:dyDescent="0.3">
      <c r="A101" s="1">
        <v>10100</v>
      </c>
      <c r="B101" s="1">
        <v>1729</v>
      </c>
      <c r="C101" s="2">
        <v>45169</v>
      </c>
      <c r="D101" s="1" t="s">
        <v>11</v>
      </c>
      <c r="E101" s="1" t="s">
        <v>12</v>
      </c>
      <c r="F101" s="1" t="s">
        <v>28</v>
      </c>
      <c r="G101" s="1" t="s">
        <v>32</v>
      </c>
      <c r="H101" s="1">
        <v>7</v>
      </c>
      <c r="I101" s="1">
        <v>3156.71</v>
      </c>
      <c r="J101" s="1">
        <v>19887.27</v>
      </c>
    </row>
    <row r="102" spans="1:10" x14ac:dyDescent="0.3">
      <c r="A102" s="1">
        <v>10101</v>
      </c>
      <c r="B102" s="1">
        <v>1555</v>
      </c>
      <c r="C102" s="2">
        <v>45149</v>
      </c>
      <c r="D102" s="1" t="s">
        <v>11</v>
      </c>
      <c r="E102" s="1" t="s">
        <v>27</v>
      </c>
      <c r="F102" s="1" t="s">
        <v>40</v>
      </c>
      <c r="G102" s="1" t="s">
        <v>18</v>
      </c>
      <c r="H102" s="1">
        <v>8</v>
      </c>
      <c r="I102" s="1">
        <v>1683.18</v>
      </c>
      <c r="J102" s="1">
        <v>11445.62</v>
      </c>
    </row>
    <row r="103" spans="1:10" x14ac:dyDescent="0.3">
      <c r="A103" s="1">
        <v>10102</v>
      </c>
      <c r="B103" s="1">
        <v>1161</v>
      </c>
      <c r="C103" s="2">
        <v>44996</v>
      </c>
      <c r="D103" s="1" t="s">
        <v>24</v>
      </c>
      <c r="E103" s="1" t="s">
        <v>16</v>
      </c>
      <c r="F103" s="1" t="s">
        <v>25</v>
      </c>
      <c r="G103" s="1" t="s">
        <v>14</v>
      </c>
      <c r="H103" s="1">
        <v>2</v>
      </c>
      <c r="I103" s="1">
        <v>1859.03</v>
      </c>
      <c r="J103" s="1">
        <v>2974.45</v>
      </c>
    </row>
    <row r="104" spans="1:10" x14ac:dyDescent="0.3">
      <c r="A104" s="1">
        <v>10103</v>
      </c>
      <c r="B104" s="1">
        <v>1201</v>
      </c>
      <c r="C104" s="2">
        <v>45238</v>
      </c>
      <c r="D104" s="1" t="s">
        <v>31</v>
      </c>
      <c r="E104" s="1" t="s">
        <v>27</v>
      </c>
      <c r="F104" s="1" t="s">
        <v>13</v>
      </c>
      <c r="G104" s="1" t="s">
        <v>32</v>
      </c>
      <c r="H104" s="1">
        <v>7</v>
      </c>
      <c r="I104" s="1">
        <v>3590.34</v>
      </c>
      <c r="J104" s="1">
        <v>20105.900000000001</v>
      </c>
    </row>
    <row r="105" spans="1:10" x14ac:dyDescent="0.3">
      <c r="A105" s="1">
        <v>10104</v>
      </c>
      <c r="B105" s="1">
        <v>1957</v>
      </c>
      <c r="C105" s="2">
        <v>45137</v>
      </c>
      <c r="D105" s="1" t="s">
        <v>11</v>
      </c>
      <c r="E105" s="1" t="s">
        <v>29</v>
      </c>
      <c r="F105" s="1" t="s">
        <v>36</v>
      </c>
      <c r="G105" s="1" t="s">
        <v>30</v>
      </c>
      <c r="H105" s="1">
        <v>5</v>
      </c>
      <c r="I105" s="1">
        <v>2683.51</v>
      </c>
      <c r="J105" s="1">
        <v>12075.79</v>
      </c>
    </row>
    <row r="106" spans="1:10" x14ac:dyDescent="0.3">
      <c r="A106" s="1">
        <v>10105</v>
      </c>
      <c r="B106" s="1">
        <v>1995</v>
      </c>
      <c r="C106" s="2">
        <v>45027</v>
      </c>
      <c r="D106" s="1" t="s">
        <v>31</v>
      </c>
      <c r="E106" s="1" t="s">
        <v>22</v>
      </c>
      <c r="F106" s="1" t="s">
        <v>17</v>
      </c>
      <c r="G106" s="1" t="s">
        <v>14</v>
      </c>
      <c r="H106" s="1">
        <v>5</v>
      </c>
      <c r="I106" s="1">
        <v>181.03</v>
      </c>
      <c r="J106" s="1">
        <v>814.63</v>
      </c>
    </row>
    <row r="107" spans="1:10" x14ac:dyDescent="0.3">
      <c r="A107" s="1">
        <v>10106</v>
      </c>
      <c r="B107" s="1">
        <v>1269</v>
      </c>
      <c r="C107" s="2">
        <v>45112</v>
      </c>
      <c r="D107" s="1" t="s">
        <v>31</v>
      </c>
      <c r="E107" s="1" t="s">
        <v>16</v>
      </c>
      <c r="F107" s="1" t="s">
        <v>44</v>
      </c>
      <c r="G107" s="1" t="s">
        <v>32</v>
      </c>
      <c r="H107" s="1">
        <v>3</v>
      </c>
      <c r="I107" s="1">
        <v>3781.22</v>
      </c>
      <c r="J107" s="1">
        <v>10776.48</v>
      </c>
    </row>
    <row r="108" spans="1:10" x14ac:dyDescent="0.3">
      <c r="A108" s="1">
        <v>10107</v>
      </c>
      <c r="B108" s="1">
        <v>1862</v>
      </c>
      <c r="C108" s="2">
        <v>45058</v>
      </c>
      <c r="D108" s="1" t="s">
        <v>31</v>
      </c>
      <c r="E108" s="1" t="s">
        <v>29</v>
      </c>
      <c r="F108" s="1" t="s">
        <v>41</v>
      </c>
      <c r="G108" s="1" t="s">
        <v>30</v>
      </c>
      <c r="H108" s="1">
        <v>5</v>
      </c>
      <c r="I108" s="1">
        <v>1063.01</v>
      </c>
      <c r="J108" s="1">
        <v>4517.79</v>
      </c>
    </row>
    <row r="109" spans="1:10" x14ac:dyDescent="0.3">
      <c r="A109" s="1">
        <v>10108</v>
      </c>
      <c r="B109" s="1">
        <v>1815</v>
      </c>
      <c r="C109" s="2">
        <v>45037</v>
      </c>
      <c r="D109" s="1" t="s">
        <v>10</v>
      </c>
      <c r="E109" s="1" t="s">
        <v>12</v>
      </c>
      <c r="F109" s="1" t="s">
        <v>23</v>
      </c>
      <c r="G109" s="1" t="s">
        <v>14</v>
      </c>
      <c r="H109" s="1">
        <v>2</v>
      </c>
      <c r="I109" s="1">
        <v>564.30999999999995</v>
      </c>
      <c r="J109" s="1">
        <v>959.33</v>
      </c>
    </row>
    <row r="110" spans="1:10" x14ac:dyDescent="0.3">
      <c r="A110" s="1">
        <v>10109</v>
      </c>
      <c r="B110" s="1">
        <v>1270</v>
      </c>
      <c r="C110" s="2">
        <v>45058</v>
      </c>
      <c r="D110" s="1" t="s">
        <v>26</v>
      </c>
      <c r="E110" s="1" t="s">
        <v>16</v>
      </c>
      <c r="F110" s="1" t="s">
        <v>40</v>
      </c>
      <c r="G110" s="1" t="s">
        <v>14</v>
      </c>
      <c r="H110" s="1">
        <v>4</v>
      </c>
      <c r="I110" s="1">
        <v>3107.29</v>
      </c>
      <c r="J110" s="1">
        <v>11186.24</v>
      </c>
    </row>
    <row r="111" spans="1:10" x14ac:dyDescent="0.3">
      <c r="A111" s="1">
        <v>10110</v>
      </c>
      <c r="B111" s="1">
        <v>1455</v>
      </c>
      <c r="C111" s="2">
        <v>44946</v>
      </c>
      <c r="D111" s="1" t="s">
        <v>31</v>
      </c>
      <c r="E111" s="1" t="s">
        <v>22</v>
      </c>
      <c r="F111" s="1" t="s">
        <v>38</v>
      </c>
      <c r="G111" s="1" t="s">
        <v>32</v>
      </c>
      <c r="H111" s="1">
        <v>6</v>
      </c>
      <c r="I111" s="1">
        <v>2076.84</v>
      </c>
      <c r="J111" s="1">
        <v>9968.83</v>
      </c>
    </row>
    <row r="112" spans="1:10" x14ac:dyDescent="0.3">
      <c r="A112" s="1">
        <v>10111</v>
      </c>
      <c r="B112" s="1">
        <v>1461</v>
      </c>
      <c r="C112" s="2">
        <v>44950</v>
      </c>
      <c r="D112" s="1" t="s">
        <v>10</v>
      </c>
      <c r="E112" s="1" t="s">
        <v>22</v>
      </c>
      <c r="F112" s="1" t="s">
        <v>49</v>
      </c>
      <c r="G112" s="1" t="s">
        <v>20</v>
      </c>
      <c r="H112" s="1">
        <v>1</v>
      </c>
      <c r="I112" s="1">
        <v>1820.02</v>
      </c>
      <c r="J112" s="1">
        <v>1638.02</v>
      </c>
    </row>
    <row r="113" spans="1:10" x14ac:dyDescent="0.3">
      <c r="A113" s="1">
        <v>10112</v>
      </c>
      <c r="B113" s="1">
        <v>1726</v>
      </c>
      <c r="C113" s="2">
        <v>45153</v>
      </c>
      <c r="D113" s="1" t="s">
        <v>24</v>
      </c>
      <c r="E113" s="1" t="s">
        <v>12</v>
      </c>
      <c r="F113" s="1" t="s">
        <v>23</v>
      </c>
      <c r="G113" s="1" t="s">
        <v>14</v>
      </c>
      <c r="H113" s="1">
        <v>4</v>
      </c>
      <c r="I113" s="1">
        <v>1110.5899999999999</v>
      </c>
      <c r="J113" s="1">
        <v>3553.89</v>
      </c>
    </row>
    <row r="114" spans="1:10" x14ac:dyDescent="0.3">
      <c r="A114" s="1">
        <v>10113</v>
      </c>
      <c r="B114" s="1">
        <v>1251</v>
      </c>
      <c r="C114" s="2">
        <v>45080</v>
      </c>
      <c r="D114" s="1" t="s">
        <v>11</v>
      </c>
      <c r="E114" s="1" t="s">
        <v>12</v>
      </c>
      <c r="F114" s="1" t="s">
        <v>42</v>
      </c>
      <c r="G114" s="1" t="s">
        <v>14</v>
      </c>
      <c r="H114" s="1">
        <v>6</v>
      </c>
      <c r="I114" s="1">
        <v>2257.77</v>
      </c>
      <c r="J114" s="1">
        <v>10837.3</v>
      </c>
    </row>
    <row r="115" spans="1:10" x14ac:dyDescent="0.3">
      <c r="A115" s="1">
        <v>10114</v>
      </c>
      <c r="B115" s="1">
        <v>1701</v>
      </c>
      <c r="C115" s="2">
        <v>45219</v>
      </c>
      <c r="D115" s="1" t="s">
        <v>26</v>
      </c>
      <c r="E115" s="1" t="s">
        <v>16</v>
      </c>
      <c r="F115" s="1" t="s">
        <v>50</v>
      </c>
      <c r="G115" s="1" t="s">
        <v>30</v>
      </c>
      <c r="H115" s="1">
        <v>9</v>
      </c>
      <c r="I115" s="1">
        <v>1206.3800000000001</v>
      </c>
      <c r="J115" s="1">
        <v>9771.68</v>
      </c>
    </row>
    <row r="116" spans="1:10" x14ac:dyDescent="0.3">
      <c r="A116" s="1">
        <v>10115</v>
      </c>
      <c r="B116" s="1">
        <v>1295</v>
      </c>
      <c r="C116" s="2">
        <v>45156</v>
      </c>
      <c r="D116" s="1" t="s">
        <v>15</v>
      </c>
      <c r="E116" s="1" t="s">
        <v>27</v>
      </c>
      <c r="F116" s="1" t="s">
        <v>43</v>
      </c>
      <c r="G116" s="1" t="s">
        <v>18</v>
      </c>
      <c r="H116" s="1">
        <v>2</v>
      </c>
      <c r="I116" s="1">
        <v>3621.09</v>
      </c>
      <c r="J116" s="1">
        <v>7242.18</v>
      </c>
    </row>
    <row r="117" spans="1:10" x14ac:dyDescent="0.3">
      <c r="A117" s="1">
        <v>10116</v>
      </c>
      <c r="B117" s="1">
        <v>1724</v>
      </c>
      <c r="C117" s="2">
        <v>45236</v>
      </c>
      <c r="D117" s="1" t="s">
        <v>11</v>
      </c>
      <c r="E117" s="1" t="s">
        <v>12</v>
      </c>
      <c r="F117" s="1" t="s">
        <v>41</v>
      </c>
      <c r="G117" s="1" t="s">
        <v>32</v>
      </c>
      <c r="H117" s="1">
        <v>7</v>
      </c>
      <c r="I117" s="1">
        <v>978.54</v>
      </c>
      <c r="J117" s="1">
        <v>5822.31</v>
      </c>
    </row>
    <row r="118" spans="1:10" x14ac:dyDescent="0.3">
      <c r="A118" s="1">
        <v>10117</v>
      </c>
      <c r="B118" s="1">
        <v>1719</v>
      </c>
      <c r="C118" s="2">
        <v>45285</v>
      </c>
      <c r="D118" s="1" t="s">
        <v>26</v>
      </c>
      <c r="E118" s="1" t="s">
        <v>27</v>
      </c>
      <c r="F118" s="1" t="s">
        <v>39</v>
      </c>
      <c r="G118" s="1" t="s">
        <v>32</v>
      </c>
      <c r="H118" s="1">
        <v>6</v>
      </c>
      <c r="I118" s="1">
        <v>3554.77</v>
      </c>
      <c r="J118" s="1">
        <v>17062.900000000001</v>
      </c>
    </row>
    <row r="119" spans="1:10" x14ac:dyDescent="0.3">
      <c r="A119" s="1">
        <v>10118</v>
      </c>
      <c r="B119" s="1">
        <v>1748</v>
      </c>
      <c r="C119" s="2">
        <v>45128</v>
      </c>
      <c r="D119" s="1" t="s">
        <v>15</v>
      </c>
      <c r="E119" s="1" t="s">
        <v>29</v>
      </c>
      <c r="F119" s="1" t="s">
        <v>33</v>
      </c>
      <c r="G119" s="1" t="s">
        <v>20</v>
      </c>
      <c r="H119" s="1">
        <v>2</v>
      </c>
      <c r="I119" s="1">
        <v>2303.71</v>
      </c>
      <c r="J119" s="1">
        <v>3685.94</v>
      </c>
    </row>
    <row r="120" spans="1:10" x14ac:dyDescent="0.3">
      <c r="A120" s="1">
        <v>10119</v>
      </c>
      <c r="B120" s="1">
        <v>1337</v>
      </c>
      <c r="C120" s="2">
        <v>44964</v>
      </c>
      <c r="D120" s="1" t="s">
        <v>11</v>
      </c>
      <c r="E120" s="1" t="s">
        <v>22</v>
      </c>
      <c r="F120" s="1" t="s">
        <v>19</v>
      </c>
      <c r="G120" s="1" t="s">
        <v>20</v>
      </c>
      <c r="H120" s="1">
        <v>8</v>
      </c>
      <c r="I120" s="1">
        <v>3339.68</v>
      </c>
      <c r="J120" s="1">
        <v>26717.439999999999</v>
      </c>
    </row>
    <row r="121" spans="1:10" x14ac:dyDescent="0.3">
      <c r="A121" s="1">
        <v>10120</v>
      </c>
      <c r="B121" s="1">
        <v>1878</v>
      </c>
      <c r="C121" s="2">
        <v>45186</v>
      </c>
      <c r="D121" s="1" t="s">
        <v>26</v>
      </c>
      <c r="E121" s="1" t="s">
        <v>27</v>
      </c>
      <c r="F121" s="1" t="s">
        <v>36</v>
      </c>
      <c r="G121" s="1" t="s">
        <v>32</v>
      </c>
      <c r="H121" s="1">
        <v>7</v>
      </c>
      <c r="I121" s="1">
        <v>2894.46</v>
      </c>
      <c r="J121" s="1">
        <v>19248.16</v>
      </c>
    </row>
    <row r="122" spans="1:10" x14ac:dyDescent="0.3">
      <c r="A122" s="1">
        <v>10121</v>
      </c>
      <c r="B122" s="1">
        <v>1052</v>
      </c>
      <c r="C122" s="2">
        <v>45114</v>
      </c>
      <c r="D122" s="1" t="s">
        <v>11</v>
      </c>
      <c r="E122" s="1" t="s">
        <v>22</v>
      </c>
      <c r="F122" s="1" t="s">
        <v>43</v>
      </c>
      <c r="G122" s="1" t="s">
        <v>20</v>
      </c>
      <c r="H122" s="1">
        <v>5</v>
      </c>
      <c r="I122" s="1">
        <v>2832.28</v>
      </c>
      <c r="J122" s="1">
        <v>14161.4</v>
      </c>
    </row>
    <row r="123" spans="1:10" x14ac:dyDescent="0.3">
      <c r="A123" s="1">
        <v>10122</v>
      </c>
      <c r="B123" s="1">
        <v>1791</v>
      </c>
      <c r="C123" s="2">
        <v>44983</v>
      </c>
      <c r="D123" s="1" t="s">
        <v>11</v>
      </c>
      <c r="E123" s="1" t="s">
        <v>27</v>
      </c>
      <c r="F123" s="1" t="s">
        <v>44</v>
      </c>
      <c r="G123" s="1" t="s">
        <v>30</v>
      </c>
      <c r="H123" s="1">
        <v>5</v>
      </c>
      <c r="I123" s="1">
        <v>1398.73</v>
      </c>
      <c r="J123" s="1">
        <v>6993.65</v>
      </c>
    </row>
    <row r="124" spans="1:10" x14ac:dyDescent="0.3">
      <c r="A124" s="1">
        <v>10123</v>
      </c>
      <c r="B124" s="1">
        <v>1921</v>
      </c>
      <c r="C124" s="2">
        <v>44946</v>
      </c>
      <c r="D124" s="1" t="s">
        <v>15</v>
      </c>
      <c r="E124" s="1" t="s">
        <v>29</v>
      </c>
      <c r="F124" s="1" t="s">
        <v>50</v>
      </c>
      <c r="G124" s="1" t="s">
        <v>32</v>
      </c>
      <c r="H124" s="1">
        <v>7</v>
      </c>
      <c r="I124" s="1">
        <v>1050.5</v>
      </c>
      <c r="J124" s="1">
        <v>5882.8</v>
      </c>
    </row>
    <row r="125" spans="1:10" x14ac:dyDescent="0.3">
      <c r="A125" s="1">
        <v>10124</v>
      </c>
      <c r="B125" s="1">
        <v>1216</v>
      </c>
      <c r="C125" s="2">
        <v>45199</v>
      </c>
      <c r="D125" s="1" t="s">
        <v>11</v>
      </c>
      <c r="E125" s="1" t="s">
        <v>12</v>
      </c>
      <c r="F125" s="1" t="s">
        <v>42</v>
      </c>
      <c r="G125" s="1" t="s">
        <v>20</v>
      </c>
      <c r="H125" s="1">
        <v>9</v>
      </c>
      <c r="I125" s="1">
        <v>961.91</v>
      </c>
      <c r="J125" s="1">
        <v>7358.61</v>
      </c>
    </row>
    <row r="126" spans="1:10" x14ac:dyDescent="0.3">
      <c r="A126" s="1">
        <v>10125</v>
      </c>
      <c r="B126" s="1">
        <v>1763</v>
      </c>
      <c r="C126" s="2">
        <v>45045</v>
      </c>
      <c r="D126" s="1" t="s">
        <v>11</v>
      </c>
      <c r="E126" s="1" t="s">
        <v>29</v>
      </c>
      <c r="F126" s="1" t="s">
        <v>45</v>
      </c>
      <c r="G126" s="1" t="s">
        <v>32</v>
      </c>
      <c r="H126" s="1">
        <v>9</v>
      </c>
      <c r="I126" s="1">
        <v>3450.19</v>
      </c>
      <c r="J126" s="1">
        <v>31051.71</v>
      </c>
    </row>
    <row r="127" spans="1:10" x14ac:dyDescent="0.3">
      <c r="A127" s="1">
        <v>10126</v>
      </c>
      <c r="B127" s="1">
        <v>1187</v>
      </c>
      <c r="C127" s="2">
        <v>44997</v>
      </c>
      <c r="D127" s="1" t="s">
        <v>15</v>
      </c>
      <c r="E127" s="1" t="s">
        <v>12</v>
      </c>
      <c r="F127" s="1" t="s">
        <v>33</v>
      </c>
      <c r="G127" s="1" t="s">
        <v>18</v>
      </c>
      <c r="H127" s="1">
        <v>9</v>
      </c>
      <c r="I127" s="1">
        <v>3308.64</v>
      </c>
      <c r="J127" s="1">
        <v>28288.87</v>
      </c>
    </row>
    <row r="128" spans="1:10" x14ac:dyDescent="0.3">
      <c r="A128" s="1">
        <v>10127</v>
      </c>
      <c r="B128" s="1">
        <v>1379</v>
      </c>
      <c r="C128" s="2">
        <v>44930</v>
      </c>
      <c r="D128" s="1" t="s">
        <v>24</v>
      </c>
      <c r="E128" s="1" t="s">
        <v>12</v>
      </c>
      <c r="F128" s="1" t="s">
        <v>25</v>
      </c>
      <c r="G128" s="1" t="s">
        <v>14</v>
      </c>
      <c r="H128" s="1">
        <v>6</v>
      </c>
      <c r="I128" s="1">
        <v>1846.21</v>
      </c>
      <c r="J128" s="1">
        <v>9969.5300000000007</v>
      </c>
    </row>
    <row r="129" spans="1:10" x14ac:dyDescent="0.3">
      <c r="A129" s="1">
        <v>10128</v>
      </c>
      <c r="B129" s="1">
        <v>1492</v>
      </c>
      <c r="C129" s="2">
        <v>45147</v>
      </c>
      <c r="D129" s="1" t="s">
        <v>31</v>
      </c>
      <c r="E129" s="1" t="s">
        <v>22</v>
      </c>
      <c r="F129" s="1" t="s">
        <v>42</v>
      </c>
      <c r="G129" s="1" t="s">
        <v>32</v>
      </c>
      <c r="H129" s="1">
        <v>6</v>
      </c>
      <c r="I129" s="1">
        <v>659.76</v>
      </c>
      <c r="J129" s="1">
        <v>3958.56</v>
      </c>
    </row>
    <row r="130" spans="1:10" x14ac:dyDescent="0.3">
      <c r="A130" s="1">
        <v>10129</v>
      </c>
      <c r="B130" s="1">
        <v>1040</v>
      </c>
      <c r="C130" s="2">
        <v>44940</v>
      </c>
      <c r="D130" s="1" t="s">
        <v>21</v>
      </c>
      <c r="E130" s="1" t="s">
        <v>29</v>
      </c>
      <c r="F130" s="1" t="s">
        <v>38</v>
      </c>
      <c r="G130" s="1" t="s">
        <v>14</v>
      </c>
      <c r="H130" s="1">
        <v>3</v>
      </c>
      <c r="I130" s="1">
        <v>1621.67</v>
      </c>
      <c r="J130" s="1">
        <v>4865.01</v>
      </c>
    </row>
    <row r="131" spans="1:10" x14ac:dyDescent="0.3">
      <c r="A131" s="1">
        <v>10130</v>
      </c>
      <c r="B131" s="1">
        <v>1156</v>
      </c>
      <c r="C131" s="2">
        <v>44929</v>
      </c>
      <c r="D131" s="1" t="s">
        <v>10</v>
      </c>
      <c r="E131" s="1" t="s">
        <v>27</v>
      </c>
      <c r="F131" s="1" t="s">
        <v>43</v>
      </c>
      <c r="G131" s="1" t="s">
        <v>20</v>
      </c>
      <c r="H131" s="1">
        <v>1</v>
      </c>
      <c r="I131" s="1">
        <v>2534.4699999999998</v>
      </c>
      <c r="J131" s="1">
        <v>2407.75</v>
      </c>
    </row>
    <row r="132" spans="1:10" x14ac:dyDescent="0.3">
      <c r="A132" s="1">
        <v>10131</v>
      </c>
      <c r="B132" s="1">
        <v>1014</v>
      </c>
      <c r="C132" s="2">
        <v>45142</v>
      </c>
      <c r="D132" s="1" t="s">
        <v>21</v>
      </c>
      <c r="E132" s="1" t="s">
        <v>29</v>
      </c>
      <c r="F132" s="1" t="s">
        <v>19</v>
      </c>
      <c r="G132" s="1" t="s">
        <v>14</v>
      </c>
      <c r="H132" s="1">
        <v>7</v>
      </c>
      <c r="I132" s="1">
        <v>1899.45</v>
      </c>
      <c r="J132" s="1">
        <v>11301.73</v>
      </c>
    </row>
    <row r="133" spans="1:10" x14ac:dyDescent="0.3">
      <c r="A133" s="1">
        <v>10132</v>
      </c>
      <c r="B133" s="1">
        <v>1812</v>
      </c>
      <c r="C133" s="2">
        <v>45155</v>
      </c>
      <c r="D133" s="1" t="s">
        <v>21</v>
      </c>
      <c r="E133" s="1" t="s">
        <v>22</v>
      </c>
      <c r="F133" s="1" t="s">
        <v>39</v>
      </c>
      <c r="G133" s="1" t="s">
        <v>32</v>
      </c>
      <c r="H133" s="1">
        <v>4</v>
      </c>
      <c r="I133" s="1">
        <v>3153.73</v>
      </c>
      <c r="J133" s="1">
        <v>12614.92</v>
      </c>
    </row>
    <row r="134" spans="1:10" x14ac:dyDescent="0.3">
      <c r="A134" s="1">
        <v>10133</v>
      </c>
      <c r="B134" s="1">
        <v>1064</v>
      </c>
      <c r="C134" s="2">
        <v>45262</v>
      </c>
      <c r="D134" s="1" t="s">
        <v>26</v>
      </c>
      <c r="E134" s="1" t="s">
        <v>12</v>
      </c>
      <c r="F134" s="1" t="s">
        <v>33</v>
      </c>
      <c r="G134" s="1" t="s">
        <v>18</v>
      </c>
      <c r="H134" s="1">
        <v>1</v>
      </c>
      <c r="I134" s="1">
        <v>3990.85</v>
      </c>
      <c r="J134" s="1">
        <v>3990.85</v>
      </c>
    </row>
    <row r="135" spans="1:10" x14ac:dyDescent="0.3">
      <c r="A135" s="1">
        <v>10134</v>
      </c>
      <c r="B135" s="1">
        <v>1856</v>
      </c>
      <c r="C135" s="2">
        <v>45112</v>
      </c>
      <c r="D135" s="1" t="s">
        <v>31</v>
      </c>
      <c r="E135" s="1" t="s">
        <v>22</v>
      </c>
      <c r="F135" s="1" t="s">
        <v>46</v>
      </c>
      <c r="G135" s="1" t="s">
        <v>20</v>
      </c>
      <c r="H135" s="1">
        <v>8</v>
      </c>
      <c r="I135" s="1">
        <v>885.86</v>
      </c>
      <c r="J135" s="1">
        <v>6023.85</v>
      </c>
    </row>
    <row r="136" spans="1:10" x14ac:dyDescent="0.3">
      <c r="A136" s="1">
        <v>10135</v>
      </c>
      <c r="B136" s="1">
        <v>1838</v>
      </c>
      <c r="C136" s="2">
        <v>44981</v>
      </c>
      <c r="D136" s="1" t="s">
        <v>26</v>
      </c>
      <c r="E136" s="1" t="s">
        <v>16</v>
      </c>
      <c r="F136" s="1" t="s">
        <v>28</v>
      </c>
      <c r="G136" s="1" t="s">
        <v>32</v>
      </c>
      <c r="H136" s="1">
        <v>6</v>
      </c>
      <c r="I136" s="1">
        <v>1919.66</v>
      </c>
      <c r="J136" s="1">
        <v>10942.06</v>
      </c>
    </row>
    <row r="137" spans="1:10" x14ac:dyDescent="0.3">
      <c r="A137" s="1">
        <v>10136</v>
      </c>
      <c r="B137" s="1">
        <v>1520</v>
      </c>
      <c r="C137" s="2">
        <v>45180</v>
      </c>
      <c r="D137" s="1" t="s">
        <v>31</v>
      </c>
      <c r="E137" s="1" t="s">
        <v>16</v>
      </c>
      <c r="F137" s="1" t="s">
        <v>25</v>
      </c>
      <c r="G137" s="1" t="s">
        <v>20</v>
      </c>
      <c r="H137" s="1">
        <v>6</v>
      </c>
      <c r="I137" s="1">
        <v>1809.29</v>
      </c>
      <c r="J137" s="1">
        <v>10855.74</v>
      </c>
    </row>
    <row r="138" spans="1:10" x14ac:dyDescent="0.3">
      <c r="A138" s="1">
        <v>10137</v>
      </c>
      <c r="B138" s="1">
        <v>1343</v>
      </c>
      <c r="C138" s="2">
        <v>44950</v>
      </c>
      <c r="D138" s="1" t="s">
        <v>15</v>
      </c>
      <c r="E138" s="1" t="s">
        <v>27</v>
      </c>
      <c r="F138" s="1" t="s">
        <v>34</v>
      </c>
      <c r="G138" s="1" t="s">
        <v>30</v>
      </c>
      <c r="H138" s="1">
        <v>2</v>
      </c>
      <c r="I138" s="1">
        <v>1322.3</v>
      </c>
      <c r="J138" s="1">
        <v>2247.91</v>
      </c>
    </row>
    <row r="139" spans="1:10" x14ac:dyDescent="0.3">
      <c r="A139" s="1">
        <v>10138</v>
      </c>
      <c r="B139" s="1">
        <v>1128</v>
      </c>
      <c r="C139" s="2">
        <v>45088</v>
      </c>
      <c r="D139" s="1" t="s">
        <v>15</v>
      </c>
      <c r="E139" s="1" t="s">
        <v>22</v>
      </c>
      <c r="F139" s="1" t="s">
        <v>36</v>
      </c>
      <c r="G139" s="1" t="s">
        <v>14</v>
      </c>
      <c r="H139" s="1">
        <v>1</v>
      </c>
      <c r="I139" s="1">
        <v>912.67</v>
      </c>
      <c r="J139" s="1">
        <v>912.67</v>
      </c>
    </row>
    <row r="140" spans="1:10" x14ac:dyDescent="0.3">
      <c r="A140" s="1">
        <v>10139</v>
      </c>
      <c r="B140" s="1">
        <v>1647</v>
      </c>
      <c r="C140" s="2">
        <v>45084</v>
      </c>
      <c r="D140" s="1" t="s">
        <v>31</v>
      </c>
      <c r="E140" s="1" t="s">
        <v>27</v>
      </c>
      <c r="F140" s="1" t="s">
        <v>36</v>
      </c>
      <c r="G140" s="1" t="s">
        <v>30</v>
      </c>
      <c r="H140" s="1">
        <v>2</v>
      </c>
      <c r="I140" s="1">
        <v>402.91</v>
      </c>
      <c r="J140" s="1">
        <v>725.24</v>
      </c>
    </row>
    <row r="141" spans="1:10" x14ac:dyDescent="0.3">
      <c r="A141" s="1">
        <v>10140</v>
      </c>
      <c r="B141" s="1">
        <v>1471</v>
      </c>
      <c r="C141" s="2">
        <v>45008</v>
      </c>
      <c r="D141" s="1" t="s">
        <v>11</v>
      </c>
      <c r="E141" s="1" t="s">
        <v>27</v>
      </c>
      <c r="F141" s="1" t="s">
        <v>40</v>
      </c>
      <c r="G141" s="1" t="s">
        <v>32</v>
      </c>
      <c r="H141" s="1">
        <v>4</v>
      </c>
      <c r="I141" s="1">
        <v>3565.41</v>
      </c>
      <c r="J141" s="1">
        <v>11409.31</v>
      </c>
    </row>
    <row r="142" spans="1:10" x14ac:dyDescent="0.3">
      <c r="A142" s="1">
        <v>10141</v>
      </c>
      <c r="B142" s="1">
        <v>1062</v>
      </c>
      <c r="C142" s="2">
        <v>45085</v>
      </c>
      <c r="D142" s="1" t="s">
        <v>24</v>
      </c>
      <c r="E142" s="1" t="s">
        <v>16</v>
      </c>
      <c r="F142" s="1" t="s">
        <v>25</v>
      </c>
      <c r="G142" s="1" t="s">
        <v>18</v>
      </c>
      <c r="H142" s="1">
        <v>2</v>
      </c>
      <c r="I142" s="1">
        <v>1766.42</v>
      </c>
      <c r="J142" s="1">
        <v>3179.56</v>
      </c>
    </row>
    <row r="143" spans="1:10" x14ac:dyDescent="0.3">
      <c r="A143" s="1">
        <v>10142</v>
      </c>
      <c r="B143" s="1">
        <v>1138</v>
      </c>
      <c r="C143" s="2">
        <v>45114</v>
      </c>
      <c r="D143" s="1" t="s">
        <v>11</v>
      </c>
      <c r="E143" s="1" t="s">
        <v>27</v>
      </c>
      <c r="F143" s="1" t="s">
        <v>35</v>
      </c>
      <c r="G143" s="1" t="s">
        <v>20</v>
      </c>
      <c r="H143" s="1">
        <v>1</v>
      </c>
      <c r="I143" s="1">
        <v>2063.0500000000002</v>
      </c>
      <c r="J143" s="1">
        <v>2063.0500000000002</v>
      </c>
    </row>
    <row r="144" spans="1:10" x14ac:dyDescent="0.3">
      <c r="A144" s="1">
        <v>10143</v>
      </c>
      <c r="B144" s="1">
        <v>1498</v>
      </c>
      <c r="C144" s="2">
        <v>44986</v>
      </c>
      <c r="D144" s="1" t="s">
        <v>24</v>
      </c>
      <c r="E144" s="1" t="s">
        <v>16</v>
      </c>
      <c r="F144" s="1" t="s">
        <v>39</v>
      </c>
      <c r="G144" s="1" t="s">
        <v>14</v>
      </c>
      <c r="H144" s="1">
        <v>7</v>
      </c>
      <c r="I144" s="1">
        <v>3680.23</v>
      </c>
      <c r="J144" s="1">
        <v>24473.53</v>
      </c>
    </row>
    <row r="145" spans="1:10" x14ac:dyDescent="0.3">
      <c r="A145" s="1">
        <v>10144</v>
      </c>
      <c r="B145" s="1">
        <v>1592</v>
      </c>
      <c r="C145" s="2">
        <v>45231</v>
      </c>
      <c r="D145" s="1" t="s">
        <v>26</v>
      </c>
      <c r="E145" s="1" t="s">
        <v>12</v>
      </c>
      <c r="F145" s="1" t="s">
        <v>37</v>
      </c>
      <c r="G145" s="1" t="s">
        <v>20</v>
      </c>
      <c r="H145" s="1">
        <v>8</v>
      </c>
      <c r="I145" s="1">
        <v>3138.72</v>
      </c>
      <c r="J145" s="1">
        <v>20087.810000000001</v>
      </c>
    </row>
    <row r="146" spans="1:10" x14ac:dyDescent="0.3">
      <c r="A146" s="1">
        <v>10145</v>
      </c>
      <c r="B146" s="1">
        <v>1391</v>
      </c>
      <c r="C146" s="2">
        <v>45245</v>
      </c>
      <c r="D146" s="1" t="s">
        <v>24</v>
      </c>
      <c r="E146" s="1" t="s">
        <v>22</v>
      </c>
      <c r="F146" s="1" t="s">
        <v>40</v>
      </c>
      <c r="G146" s="1" t="s">
        <v>32</v>
      </c>
      <c r="H146" s="1">
        <v>6</v>
      </c>
      <c r="I146" s="1">
        <v>652.42999999999995</v>
      </c>
      <c r="J146" s="1">
        <v>3523.12</v>
      </c>
    </row>
    <row r="147" spans="1:10" x14ac:dyDescent="0.3">
      <c r="A147" s="1">
        <v>10146</v>
      </c>
      <c r="B147" s="1">
        <v>1674</v>
      </c>
      <c r="C147" s="2">
        <v>45137</v>
      </c>
      <c r="D147" s="1" t="s">
        <v>26</v>
      </c>
      <c r="E147" s="1" t="s">
        <v>27</v>
      </c>
      <c r="F147" s="1" t="s">
        <v>43</v>
      </c>
      <c r="G147" s="1" t="s">
        <v>20</v>
      </c>
      <c r="H147" s="1">
        <v>4</v>
      </c>
      <c r="I147" s="1">
        <v>2326.87</v>
      </c>
      <c r="J147" s="1">
        <v>7911.36</v>
      </c>
    </row>
    <row r="148" spans="1:10" x14ac:dyDescent="0.3">
      <c r="A148" s="1">
        <v>10147</v>
      </c>
      <c r="B148" s="1">
        <v>1418</v>
      </c>
      <c r="C148" s="2">
        <v>45078</v>
      </c>
      <c r="D148" s="1" t="s">
        <v>15</v>
      </c>
      <c r="E148" s="1" t="s">
        <v>16</v>
      </c>
      <c r="F148" s="1" t="s">
        <v>33</v>
      </c>
      <c r="G148" s="1" t="s">
        <v>14</v>
      </c>
      <c r="H148" s="1">
        <v>6</v>
      </c>
      <c r="I148" s="1">
        <v>1852.67</v>
      </c>
      <c r="J148" s="1">
        <v>10560.22</v>
      </c>
    </row>
    <row r="149" spans="1:10" x14ac:dyDescent="0.3">
      <c r="A149" s="1">
        <v>10148</v>
      </c>
      <c r="B149" s="1">
        <v>1288</v>
      </c>
      <c r="C149" s="2">
        <v>45035</v>
      </c>
      <c r="D149" s="1" t="s">
        <v>21</v>
      </c>
      <c r="E149" s="1" t="s">
        <v>29</v>
      </c>
      <c r="F149" s="1" t="s">
        <v>13</v>
      </c>
      <c r="G149" s="1" t="s">
        <v>32</v>
      </c>
      <c r="H149" s="1">
        <v>3</v>
      </c>
      <c r="I149" s="1">
        <v>3219.26</v>
      </c>
      <c r="J149" s="1">
        <v>8692</v>
      </c>
    </row>
    <row r="150" spans="1:10" x14ac:dyDescent="0.3">
      <c r="A150" s="1">
        <v>10149</v>
      </c>
      <c r="B150" s="1">
        <v>1378</v>
      </c>
      <c r="C150" s="2">
        <v>45002</v>
      </c>
      <c r="D150" s="1" t="s">
        <v>15</v>
      </c>
      <c r="E150" s="1" t="s">
        <v>27</v>
      </c>
      <c r="F150" s="1" t="s">
        <v>43</v>
      </c>
      <c r="G150" s="1" t="s">
        <v>20</v>
      </c>
      <c r="H150" s="1">
        <v>8</v>
      </c>
      <c r="I150" s="1">
        <v>2938.3</v>
      </c>
      <c r="J150" s="1">
        <v>19980.439999999999</v>
      </c>
    </row>
    <row r="151" spans="1:10" x14ac:dyDescent="0.3">
      <c r="A151" s="1">
        <v>10150</v>
      </c>
      <c r="B151" s="1">
        <v>1772</v>
      </c>
      <c r="C151" s="2">
        <v>44956</v>
      </c>
      <c r="D151" s="1" t="s">
        <v>15</v>
      </c>
      <c r="E151" s="1" t="s">
        <v>12</v>
      </c>
      <c r="F151" s="1" t="s">
        <v>35</v>
      </c>
      <c r="G151" s="1" t="s">
        <v>18</v>
      </c>
      <c r="H151" s="1">
        <v>2</v>
      </c>
      <c r="I151" s="1">
        <v>2808.06</v>
      </c>
      <c r="J151" s="1">
        <v>5616.12</v>
      </c>
    </row>
    <row r="152" spans="1:10" x14ac:dyDescent="0.3">
      <c r="A152" s="1">
        <v>10151</v>
      </c>
      <c r="B152" s="1">
        <v>1489</v>
      </c>
      <c r="C152" s="2">
        <v>45240</v>
      </c>
      <c r="D152" s="1" t="s">
        <v>21</v>
      </c>
      <c r="E152" s="1" t="s">
        <v>12</v>
      </c>
      <c r="F152" s="1" t="s">
        <v>44</v>
      </c>
      <c r="G152" s="1" t="s">
        <v>32</v>
      </c>
      <c r="H152" s="1">
        <v>5</v>
      </c>
      <c r="I152" s="1">
        <v>1461.1</v>
      </c>
      <c r="J152" s="1">
        <v>6209.68</v>
      </c>
    </row>
    <row r="153" spans="1:10" x14ac:dyDescent="0.3">
      <c r="A153" s="1">
        <v>10152</v>
      </c>
      <c r="B153" s="1">
        <v>1230</v>
      </c>
      <c r="C153" s="2">
        <v>45043</v>
      </c>
      <c r="D153" s="1" t="s">
        <v>24</v>
      </c>
      <c r="E153" s="1" t="s">
        <v>29</v>
      </c>
      <c r="F153" s="1" t="s">
        <v>38</v>
      </c>
      <c r="G153" s="1" t="s">
        <v>32</v>
      </c>
      <c r="H153" s="1">
        <v>1</v>
      </c>
      <c r="I153" s="1">
        <v>3249.11</v>
      </c>
      <c r="J153" s="1">
        <v>2924.2</v>
      </c>
    </row>
    <row r="154" spans="1:10" x14ac:dyDescent="0.3">
      <c r="A154" s="1">
        <v>10153</v>
      </c>
      <c r="B154" s="1">
        <v>1040</v>
      </c>
      <c r="C154" s="2">
        <v>45282</v>
      </c>
      <c r="D154" s="1" t="s">
        <v>24</v>
      </c>
      <c r="E154" s="1" t="s">
        <v>16</v>
      </c>
      <c r="F154" s="1" t="s">
        <v>47</v>
      </c>
      <c r="G154" s="1" t="s">
        <v>18</v>
      </c>
      <c r="H154" s="1">
        <v>6</v>
      </c>
      <c r="I154" s="1">
        <v>351.71</v>
      </c>
      <c r="J154" s="1">
        <v>1899.23</v>
      </c>
    </row>
    <row r="155" spans="1:10" x14ac:dyDescent="0.3">
      <c r="A155" s="1">
        <v>10154</v>
      </c>
      <c r="B155" s="1">
        <v>1027</v>
      </c>
      <c r="C155" s="2">
        <v>45118</v>
      </c>
      <c r="D155" s="1" t="s">
        <v>26</v>
      </c>
      <c r="E155" s="1" t="s">
        <v>27</v>
      </c>
      <c r="F155" s="1" t="s">
        <v>28</v>
      </c>
      <c r="G155" s="1" t="s">
        <v>30</v>
      </c>
      <c r="H155" s="1">
        <v>2</v>
      </c>
      <c r="I155" s="1">
        <v>764.56</v>
      </c>
      <c r="J155" s="1">
        <v>1529.12</v>
      </c>
    </row>
    <row r="156" spans="1:10" x14ac:dyDescent="0.3">
      <c r="A156" s="1">
        <v>10155</v>
      </c>
      <c r="B156" s="1">
        <v>1134</v>
      </c>
      <c r="C156" s="2">
        <v>44945</v>
      </c>
      <c r="D156" s="1" t="s">
        <v>11</v>
      </c>
      <c r="E156" s="1" t="s">
        <v>16</v>
      </c>
      <c r="F156" s="1" t="s">
        <v>38</v>
      </c>
      <c r="G156" s="1" t="s">
        <v>14</v>
      </c>
      <c r="H156" s="1">
        <v>4</v>
      </c>
      <c r="I156" s="1">
        <v>1442.15</v>
      </c>
      <c r="J156" s="1">
        <v>4903.3100000000004</v>
      </c>
    </row>
    <row r="157" spans="1:10" x14ac:dyDescent="0.3">
      <c r="A157" s="1">
        <v>10156</v>
      </c>
      <c r="B157" s="1">
        <v>1200</v>
      </c>
      <c r="C157" s="2">
        <v>45099</v>
      </c>
      <c r="D157" s="1" t="s">
        <v>26</v>
      </c>
      <c r="E157" s="1" t="s">
        <v>12</v>
      </c>
      <c r="F157" s="1" t="s">
        <v>40</v>
      </c>
      <c r="G157" s="1" t="s">
        <v>30</v>
      </c>
      <c r="H157" s="1">
        <v>6</v>
      </c>
      <c r="I157" s="1">
        <v>445.71</v>
      </c>
      <c r="J157" s="1">
        <v>2273.12</v>
      </c>
    </row>
    <row r="158" spans="1:10" x14ac:dyDescent="0.3">
      <c r="A158" s="1">
        <v>10157</v>
      </c>
      <c r="B158" s="1">
        <v>1839</v>
      </c>
      <c r="C158" s="2">
        <v>45154</v>
      </c>
      <c r="D158" s="1" t="s">
        <v>11</v>
      </c>
      <c r="E158" s="1" t="s">
        <v>16</v>
      </c>
      <c r="F158" s="1" t="s">
        <v>13</v>
      </c>
      <c r="G158" s="1" t="s">
        <v>20</v>
      </c>
      <c r="H158" s="1">
        <v>8</v>
      </c>
      <c r="I158" s="1">
        <v>1054.73</v>
      </c>
      <c r="J158" s="1">
        <v>8437.84</v>
      </c>
    </row>
    <row r="159" spans="1:10" x14ac:dyDescent="0.3">
      <c r="A159" s="1">
        <v>10158</v>
      </c>
      <c r="B159" s="1">
        <v>1779</v>
      </c>
      <c r="C159" s="2">
        <v>45276</v>
      </c>
      <c r="D159" s="1" t="s">
        <v>15</v>
      </c>
      <c r="E159" s="1" t="s">
        <v>12</v>
      </c>
      <c r="F159" s="1" t="s">
        <v>44</v>
      </c>
      <c r="G159" s="1" t="s">
        <v>18</v>
      </c>
      <c r="H159" s="1">
        <v>8</v>
      </c>
      <c r="I159" s="1">
        <v>3346.08</v>
      </c>
      <c r="J159" s="1">
        <v>22753.34</v>
      </c>
    </row>
    <row r="160" spans="1:10" x14ac:dyDescent="0.3">
      <c r="A160" s="1">
        <v>10159</v>
      </c>
      <c r="B160" s="1">
        <v>1929</v>
      </c>
      <c r="C160" s="2">
        <v>45109</v>
      </c>
      <c r="D160" s="1" t="s">
        <v>21</v>
      </c>
      <c r="E160" s="1" t="s">
        <v>16</v>
      </c>
      <c r="F160" s="1" t="s">
        <v>49</v>
      </c>
      <c r="G160" s="1" t="s">
        <v>30</v>
      </c>
      <c r="H160" s="1">
        <v>6</v>
      </c>
      <c r="I160" s="1">
        <v>3800.77</v>
      </c>
      <c r="J160" s="1">
        <v>22804.62</v>
      </c>
    </row>
    <row r="161" spans="1:10" x14ac:dyDescent="0.3">
      <c r="A161" s="1">
        <v>10160</v>
      </c>
      <c r="B161" s="1">
        <v>1032</v>
      </c>
      <c r="C161" s="2">
        <v>45039</v>
      </c>
      <c r="D161" s="1" t="s">
        <v>15</v>
      </c>
      <c r="E161" s="1" t="s">
        <v>29</v>
      </c>
      <c r="F161" s="1" t="s">
        <v>33</v>
      </c>
      <c r="G161" s="1" t="s">
        <v>32</v>
      </c>
      <c r="H161" s="1">
        <v>4</v>
      </c>
      <c r="I161" s="1">
        <v>1322.72</v>
      </c>
      <c r="J161" s="1">
        <v>5026.34</v>
      </c>
    </row>
    <row r="162" spans="1:10" x14ac:dyDescent="0.3">
      <c r="A162" s="1">
        <v>10161</v>
      </c>
      <c r="B162" s="1">
        <v>1047</v>
      </c>
      <c r="C162" s="2">
        <v>45109</v>
      </c>
      <c r="D162" s="1" t="s">
        <v>31</v>
      </c>
      <c r="E162" s="1" t="s">
        <v>22</v>
      </c>
      <c r="F162" s="1" t="s">
        <v>13</v>
      </c>
      <c r="G162" s="1" t="s">
        <v>20</v>
      </c>
      <c r="H162" s="1">
        <v>8</v>
      </c>
      <c r="I162" s="1">
        <v>1168.3900000000001</v>
      </c>
      <c r="J162" s="1">
        <v>8412.41</v>
      </c>
    </row>
    <row r="163" spans="1:10" x14ac:dyDescent="0.3">
      <c r="A163" s="1">
        <v>10162</v>
      </c>
      <c r="B163" s="1">
        <v>1502</v>
      </c>
      <c r="C163" s="2">
        <v>45072</v>
      </c>
      <c r="D163" s="1" t="s">
        <v>24</v>
      </c>
      <c r="E163" s="1" t="s">
        <v>29</v>
      </c>
      <c r="F163" s="1" t="s">
        <v>39</v>
      </c>
      <c r="G163" s="1" t="s">
        <v>20</v>
      </c>
      <c r="H163" s="1">
        <v>8</v>
      </c>
      <c r="I163" s="1">
        <v>1227.5899999999999</v>
      </c>
      <c r="J163" s="1">
        <v>9329.68</v>
      </c>
    </row>
    <row r="164" spans="1:10" x14ac:dyDescent="0.3">
      <c r="A164" s="1">
        <v>10163</v>
      </c>
      <c r="B164" s="1">
        <v>1406</v>
      </c>
      <c r="C164" s="2">
        <v>45245</v>
      </c>
      <c r="D164" s="1" t="s">
        <v>11</v>
      </c>
      <c r="E164" s="1" t="s">
        <v>29</v>
      </c>
      <c r="F164" s="1" t="s">
        <v>36</v>
      </c>
      <c r="G164" s="1" t="s">
        <v>30</v>
      </c>
      <c r="H164" s="1">
        <v>1</v>
      </c>
      <c r="I164" s="1">
        <v>1219.22</v>
      </c>
      <c r="J164" s="1">
        <v>975.38</v>
      </c>
    </row>
    <row r="165" spans="1:10" x14ac:dyDescent="0.3">
      <c r="A165" s="1">
        <v>10164</v>
      </c>
      <c r="B165" s="1">
        <v>1573</v>
      </c>
      <c r="C165" s="2">
        <v>45042</v>
      </c>
      <c r="D165" s="1" t="s">
        <v>26</v>
      </c>
      <c r="E165" s="1" t="s">
        <v>22</v>
      </c>
      <c r="F165" s="1" t="s">
        <v>45</v>
      </c>
      <c r="G165" s="1" t="s">
        <v>30</v>
      </c>
      <c r="H165" s="1">
        <v>4</v>
      </c>
      <c r="I165" s="1">
        <v>288.33</v>
      </c>
      <c r="J165" s="1">
        <v>922.66</v>
      </c>
    </row>
    <row r="166" spans="1:10" x14ac:dyDescent="0.3">
      <c r="A166" s="1">
        <v>10165</v>
      </c>
      <c r="B166" s="1">
        <v>1727</v>
      </c>
      <c r="C166" s="2">
        <v>45039</v>
      </c>
      <c r="D166" s="1" t="s">
        <v>21</v>
      </c>
      <c r="E166" s="1" t="s">
        <v>22</v>
      </c>
      <c r="F166" s="1" t="s">
        <v>43</v>
      </c>
      <c r="G166" s="1" t="s">
        <v>18</v>
      </c>
      <c r="H166" s="1">
        <v>4</v>
      </c>
      <c r="I166" s="1">
        <v>3718.63</v>
      </c>
      <c r="J166" s="1">
        <v>11899.62</v>
      </c>
    </row>
    <row r="167" spans="1:10" x14ac:dyDescent="0.3">
      <c r="A167" s="1">
        <v>10166</v>
      </c>
      <c r="B167" s="1">
        <v>1804</v>
      </c>
      <c r="C167" s="2">
        <v>45177</v>
      </c>
      <c r="D167" s="1" t="s">
        <v>11</v>
      </c>
      <c r="E167" s="1" t="s">
        <v>27</v>
      </c>
      <c r="F167" s="1" t="s">
        <v>17</v>
      </c>
      <c r="G167" s="1" t="s">
        <v>14</v>
      </c>
      <c r="H167" s="1">
        <v>7</v>
      </c>
      <c r="I167" s="1">
        <v>972.74</v>
      </c>
      <c r="J167" s="1">
        <v>6809.18</v>
      </c>
    </row>
    <row r="168" spans="1:10" x14ac:dyDescent="0.3">
      <c r="A168" s="1">
        <v>10167</v>
      </c>
      <c r="B168" s="1">
        <v>1098</v>
      </c>
      <c r="C168" s="2">
        <v>45177</v>
      </c>
      <c r="D168" s="1" t="s">
        <v>26</v>
      </c>
      <c r="E168" s="1" t="s">
        <v>27</v>
      </c>
      <c r="F168" s="1" t="s">
        <v>19</v>
      </c>
      <c r="G168" s="1" t="s">
        <v>30</v>
      </c>
      <c r="H168" s="1">
        <v>7</v>
      </c>
      <c r="I168" s="1">
        <v>1767.02</v>
      </c>
      <c r="J168" s="1">
        <v>10513.77</v>
      </c>
    </row>
    <row r="169" spans="1:10" x14ac:dyDescent="0.3">
      <c r="A169" s="1">
        <v>10168</v>
      </c>
      <c r="B169" s="1">
        <v>1683</v>
      </c>
      <c r="C169" s="2">
        <v>45229</v>
      </c>
      <c r="D169" s="1" t="s">
        <v>24</v>
      </c>
      <c r="E169" s="1" t="s">
        <v>29</v>
      </c>
      <c r="F169" s="1" t="s">
        <v>38</v>
      </c>
      <c r="G169" s="1" t="s">
        <v>30</v>
      </c>
      <c r="H169" s="1">
        <v>8</v>
      </c>
      <c r="I169" s="1">
        <v>187.29</v>
      </c>
      <c r="J169" s="1">
        <v>1423.4</v>
      </c>
    </row>
    <row r="170" spans="1:10" x14ac:dyDescent="0.3">
      <c r="A170" s="1">
        <v>10169</v>
      </c>
      <c r="B170" s="1">
        <v>1871</v>
      </c>
      <c r="C170" s="2">
        <v>45239</v>
      </c>
      <c r="D170" s="1" t="s">
        <v>15</v>
      </c>
      <c r="E170" s="1" t="s">
        <v>29</v>
      </c>
      <c r="F170" s="1" t="s">
        <v>37</v>
      </c>
      <c r="G170" s="1" t="s">
        <v>32</v>
      </c>
      <c r="H170" s="1">
        <v>5</v>
      </c>
      <c r="I170" s="1">
        <v>3453.13</v>
      </c>
      <c r="J170" s="1">
        <v>16402.37</v>
      </c>
    </row>
    <row r="171" spans="1:10" x14ac:dyDescent="0.3">
      <c r="A171" s="1">
        <v>10170</v>
      </c>
      <c r="B171" s="1">
        <v>1725</v>
      </c>
      <c r="C171" s="2">
        <v>45044</v>
      </c>
      <c r="D171" s="1" t="s">
        <v>24</v>
      </c>
      <c r="E171" s="1" t="s">
        <v>12</v>
      </c>
      <c r="F171" s="1" t="s">
        <v>46</v>
      </c>
      <c r="G171" s="1" t="s">
        <v>20</v>
      </c>
      <c r="H171" s="1">
        <v>7</v>
      </c>
      <c r="I171" s="1">
        <v>2964.96</v>
      </c>
      <c r="J171" s="1">
        <v>19716.98</v>
      </c>
    </row>
    <row r="172" spans="1:10" x14ac:dyDescent="0.3">
      <c r="A172" s="1">
        <v>10171</v>
      </c>
      <c r="B172" s="1">
        <v>1986</v>
      </c>
      <c r="C172" s="2">
        <v>45227</v>
      </c>
      <c r="D172" s="1" t="s">
        <v>10</v>
      </c>
      <c r="E172" s="1" t="s">
        <v>12</v>
      </c>
      <c r="F172" s="1" t="s">
        <v>28</v>
      </c>
      <c r="G172" s="1" t="s">
        <v>14</v>
      </c>
      <c r="H172" s="1">
        <v>8</v>
      </c>
      <c r="I172" s="1">
        <v>3795.01</v>
      </c>
      <c r="J172" s="1">
        <v>28842.080000000002</v>
      </c>
    </row>
    <row r="173" spans="1:10" x14ac:dyDescent="0.3">
      <c r="A173" s="1">
        <v>10172</v>
      </c>
      <c r="B173" s="1">
        <v>1546</v>
      </c>
      <c r="C173" s="2">
        <v>45087</v>
      </c>
      <c r="D173" s="1" t="s">
        <v>31</v>
      </c>
      <c r="E173" s="1" t="s">
        <v>27</v>
      </c>
      <c r="F173" s="1" t="s">
        <v>44</v>
      </c>
      <c r="G173" s="1" t="s">
        <v>32</v>
      </c>
      <c r="H173" s="1">
        <v>9</v>
      </c>
      <c r="I173" s="1">
        <v>3159.22</v>
      </c>
      <c r="J173" s="1">
        <v>22746.38</v>
      </c>
    </row>
    <row r="174" spans="1:10" x14ac:dyDescent="0.3">
      <c r="A174" s="1">
        <v>10173</v>
      </c>
      <c r="B174" s="1">
        <v>1960</v>
      </c>
      <c r="C174" s="2">
        <v>45124</v>
      </c>
      <c r="D174" s="1" t="s">
        <v>10</v>
      </c>
      <c r="E174" s="1" t="s">
        <v>27</v>
      </c>
      <c r="F174" s="1" t="s">
        <v>46</v>
      </c>
      <c r="G174" s="1" t="s">
        <v>18</v>
      </c>
      <c r="H174" s="1">
        <v>3</v>
      </c>
      <c r="I174" s="1">
        <v>1357.77</v>
      </c>
      <c r="J174" s="1">
        <v>3869.64</v>
      </c>
    </row>
    <row r="175" spans="1:10" x14ac:dyDescent="0.3">
      <c r="A175" s="1">
        <v>10174</v>
      </c>
      <c r="B175" s="1">
        <v>1738</v>
      </c>
      <c r="C175" s="2">
        <v>45186</v>
      </c>
      <c r="D175" s="1" t="s">
        <v>21</v>
      </c>
      <c r="E175" s="1" t="s">
        <v>12</v>
      </c>
      <c r="F175" s="1" t="s">
        <v>36</v>
      </c>
      <c r="G175" s="1" t="s">
        <v>18</v>
      </c>
      <c r="H175" s="1">
        <v>3</v>
      </c>
      <c r="I175" s="1">
        <v>1104.31</v>
      </c>
      <c r="J175" s="1">
        <v>2815.99</v>
      </c>
    </row>
    <row r="176" spans="1:10" x14ac:dyDescent="0.3">
      <c r="A176" s="1">
        <v>10175</v>
      </c>
      <c r="B176" s="1">
        <v>1612</v>
      </c>
      <c r="C176" s="2">
        <v>45074</v>
      </c>
      <c r="D176" s="1" t="s">
        <v>11</v>
      </c>
      <c r="E176" s="1" t="s">
        <v>12</v>
      </c>
      <c r="F176" s="1" t="s">
        <v>19</v>
      </c>
      <c r="G176" s="1" t="s">
        <v>30</v>
      </c>
      <c r="H176" s="1">
        <v>4</v>
      </c>
      <c r="I176" s="1">
        <v>2836.21</v>
      </c>
      <c r="J176" s="1">
        <v>9075.8700000000008</v>
      </c>
    </row>
    <row r="177" spans="1:10" x14ac:dyDescent="0.3">
      <c r="A177" s="1">
        <v>10176</v>
      </c>
      <c r="B177" s="1">
        <v>1942</v>
      </c>
      <c r="C177" s="2">
        <v>45166</v>
      </c>
      <c r="D177" s="1" t="s">
        <v>21</v>
      </c>
      <c r="E177" s="1" t="s">
        <v>16</v>
      </c>
      <c r="F177" s="1" t="s">
        <v>25</v>
      </c>
      <c r="G177" s="1" t="s">
        <v>30</v>
      </c>
      <c r="H177" s="1">
        <v>5</v>
      </c>
      <c r="I177" s="1">
        <v>1551.83</v>
      </c>
      <c r="J177" s="1">
        <v>7371.19</v>
      </c>
    </row>
    <row r="178" spans="1:10" x14ac:dyDescent="0.3">
      <c r="A178" s="1">
        <v>10177</v>
      </c>
      <c r="B178" s="1">
        <v>1461</v>
      </c>
      <c r="C178" s="2">
        <v>44973</v>
      </c>
      <c r="D178" s="1" t="s">
        <v>15</v>
      </c>
      <c r="E178" s="1" t="s">
        <v>16</v>
      </c>
      <c r="F178" s="1" t="s">
        <v>19</v>
      </c>
      <c r="G178" s="1" t="s">
        <v>18</v>
      </c>
      <c r="H178" s="1">
        <v>1</v>
      </c>
      <c r="I178" s="1">
        <v>2329.9299999999998</v>
      </c>
      <c r="J178" s="1">
        <v>2329.9299999999998</v>
      </c>
    </row>
    <row r="179" spans="1:10" x14ac:dyDescent="0.3">
      <c r="A179" s="1">
        <v>10178</v>
      </c>
      <c r="B179" s="1">
        <v>1642</v>
      </c>
      <c r="C179" s="2">
        <v>45124</v>
      </c>
      <c r="D179" s="1" t="s">
        <v>26</v>
      </c>
      <c r="E179" s="1" t="s">
        <v>12</v>
      </c>
      <c r="F179" s="1" t="s">
        <v>42</v>
      </c>
      <c r="G179" s="1" t="s">
        <v>30</v>
      </c>
      <c r="H179" s="1">
        <v>7</v>
      </c>
      <c r="I179" s="1">
        <v>174.09</v>
      </c>
      <c r="J179" s="1">
        <v>1096.77</v>
      </c>
    </row>
    <row r="180" spans="1:10" x14ac:dyDescent="0.3">
      <c r="A180" s="1">
        <v>10179</v>
      </c>
      <c r="B180" s="1">
        <v>1768</v>
      </c>
      <c r="C180" s="2">
        <v>44973</v>
      </c>
      <c r="D180" s="1" t="s">
        <v>24</v>
      </c>
      <c r="E180" s="1" t="s">
        <v>16</v>
      </c>
      <c r="F180" s="1" t="s">
        <v>19</v>
      </c>
      <c r="G180" s="1" t="s">
        <v>14</v>
      </c>
      <c r="H180" s="1">
        <v>9</v>
      </c>
      <c r="I180" s="1">
        <v>388.26</v>
      </c>
      <c r="J180" s="1">
        <v>3144.91</v>
      </c>
    </row>
    <row r="181" spans="1:10" x14ac:dyDescent="0.3">
      <c r="A181" s="1">
        <v>10180</v>
      </c>
      <c r="B181" s="1">
        <v>1004</v>
      </c>
      <c r="C181" s="2">
        <v>45004</v>
      </c>
      <c r="D181" s="1" t="s">
        <v>10</v>
      </c>
      <c r="E181" s="1" t="s">
        <v>22</v>
      </c>
      <c r="F181" s="1" t="s">
        <v>28</v>
      </c>
      <c r="G181" s="1" t="s">
        <v>30</v>
      </c>
      <c r="H181" s="1">
        <v>8</v>
      </c>
      <c r="I181" s="1">
        <v>2211.17</v>
      </c>
      <c r="J181" s="1">
        <v>15920.42</v>
      </c>
    </row>
    <row r="182" spans="1:10" x14ac:dyDescent="0.3">
      <c r="A182" s="1">
        <v>10181</v>
      </c>
      <c r="B182" s="1">
        <v>1217</v>
      </c>
      <c r="C182" s="2">
        <v>45050</v>
      </c>
      <c r="D182" s="1" t="s">
        <v>10</v>
      </c>
      <c r="E182" s="1" t="s">
        <v>27</v>
      </c>
      <c r="F182" s="1" t="s">
        <v>34</v>
      </c>
      <c r="G182" s="1" t="s">
        <v>20</v>
      </c>
      <c r="H182" s="1">
        <v>5</v>
      </c>
      <c r="I182" s="1">
        <v>2329.38</v>
      </c>
      <c r="J182" s="1">
        <v>9317.52</v>
      </c>
    </row>
    <row r="183" spans="1:10" x14ac:dyDescent="0.3">
      <c r="A183" s="1">
        <v>10182</v>
      </c>
      <c r="B183" s="1">
        <v>1502</v>
      </c>
      <c r="C183" s="2">
        <v>45001</v>
      </c>
      <c r="D183" s="1" t="s">
        <v>15</v>
      </c>
      <c r="E183" s="1" t="s">
        <v>27</v>
      </c>
      <c r="F183" s="1" t="s">
        <v>40</v>
      </c>
      <c r="G183" s="1" t="s">
        <v>30</v>
      </c>
      <c r="H183" s="1">
        <v>4</v>
      </c>
      <c r="I183" s="1">
        <v>3043.09</v>
      </c>
      <c r="J183" s="1">
        <v>11563.74</v>
      </c>
    </row>
    <row r="184" spans="1:10" x14ac:dyDescent="0.3">
      <c r="A184" s="1">
        <v>10183</v>
      </c>
      <c r="B184" s="1">
        <v>1766</v>
      </c>
      <c r="C184" s="2">
        <v>45285</v>
      </c>
      <c r="D184" s="1" t="s">
        <v>10</v>
      </c>
      <c r="E184" s="1" t="s">
        <v>12</v>
      </c>
      <c r="F184" s="1" t="s">
        <v>25</v>
      </c>
      <c r="G184" s="1" t="s">
        <v>32</v>
      </c>
      <c r="H184" s="1">
        <v>7</v>
      </c>
      <c r="I184" s="1">
        <v>658.07</v>
      </c>
      <c r="J184" s="1">
        <v>3685.19</v>
      </c>
    </row>
    <row r="185" spans="1:10" x14ac:dyDescent="0.3">
      <c r="A185" s="1">
        <v>10184</v>
      </c>
      <c r="B185" s="1">
        <v>1397</v>
      </c>
      <c r="C185" s="2">
        <v>45063</v>
      </c>
      <c r="D185" s="1" t="s">
        <v>15</v>
      </c>
      <c r="E185" s="1" t="s">
        <v>29</v>
      </c>
      <c r="F185" s="1" t="s">
        <v>45</v>
      </c>
      <c r="G185" s="1" t="s">
        <v>14</v>
      </c>
      <c r="H185" s="1">
        <v>5</v>
      </c>
      <c r="I185" s="1">
        <v>2125.75</v>
      </c>
      <c r="J185" s="1">
        <v>9034.44</v>
      </c>
    </row>
    <row r="186" spans="1:10" x14ac:dyDescent="0.3">
      <c r="A186" s="1">
        <v>10185</v>
      </c>
      <c r="B186" s="1">
        <v>1870</v>
      </c>
      <c r="C186" s="2">
        <v>45016</v>
      </c>
      <c r="D186" s="1" t="s">
        <v>21</v>
      </c>
      <c r="E186" s="1" t="s">
        <v>12</v>
      </c>
      <c r="F186" s="1" t="s">
        <v>25</v>
      </c>
      <c r="G186" s="1" t="s">
        <v>32</v>
      </c>
      <c r="H186" s="1">
        <v>7</v>
      </c>
      <c r="I186" s="1">
        <v>898.62</v>
      </c>
      <c r="J186" s="1">
        <v>6290.34</v>
      </c>
    </row>
    <row r="187" spans="1:10" x14ac:dyDescent="0.3">
      <c r="A187" s="1">
        <v>10186</v>
      </c>
      <c r="B187" s="1">
        <v>1794</v>
      </c>
      <c r="C187" s="2">
        <v>45251</v>
      </c>
      <c r="D187" s="1" t="s">
        <v>24</v>
      </c>
      <c r="E187" s="1" t="s">
        <v>16</v>
      </c>
      <c r="F187" s="1" t="s">
        <v>38</v>
      </c>
      <c r="G187" s="1" t="s">
        <v>32</v>
      </c>
      <c r="H187" s="1">
        <v>1</v>
      </c>
      <c r="I187" s="1">
        <v>508.81</v>
      </c>
      <c r="J187" s="1">
        <v>508.81</v>
      </c>
    </row>
    <row r="188" spans="1:10" x14ac:dyDescent="0.3">
      <c r="A188" s="1">
        <v>10187</v>
      </c>
      <c r="B188" s="1">
        <v>1392</v>
      </c>
      <c r="C188" s="2">
        <v>44987</v>
      </c>
      <c r="D188" s="1" t="s">
        <v>11</v>
      </c>
      <c r="E188" s="1" t="s">
        <v>29</v>
      </c>
      <c r="F188" s="1" t="s">
        <v>28</v>
      </c>
      <c r="G188" s="1" t="s">
        <v>20</v>
      </c>
      <c r="H188" s="1">
        <v>1</v>
      </c>
      <c r="I188" s="1">
        <v>1730.41</v>
      </c>
      <c r="J188" s="1">
        <v>1557.37</v>
      </c>
    </row>
    <row r="189" spans="1:10" x14ac:dyDescent="0.3">
      <c r="A189" s="1">
        <v>10188</v>
      </c>
      <c r="B189" s="1">
        <v>1206</v>
      </c>
      <c r="C189" s="2">
        <v>45064</v>
      </c>
      <c r="D189" s="1" t="s">
        <v>26</v>
      </c>
      <c r="E189" s="1" t="s">
        <v>16</v>
      </c>
      <c r="F189" s="1" t="s">
        <v>36</v>
      </c>
      <c r="G189" s="1" t="s">
        <v>14</v>
      </c>
      <c r="H189" s="1">
        <v>3</v>
      </c>
      <c r="I189" s="1">
        <v>778.85</v>
      </c>
      <c r="J189" s="1">
        <v>2102.89</v>
      </c>
    </row>
    <row r="190" spans="1:10" x14ac:dyDescent="0.3">
      <c r="A190" s="1">
        <v>10189</v>
      </c>
      <c r="B190" s="1">
        <v>1014</v>
      </c>
      <c r="C190" s="2">
        <v>44976</v>
      </c>
      <c r="D190" s="1" t="s">
        <v>11</v>
      </c>
      <c r="E190" s="1" t="s">
        <v>22</v>
      </c>
      <c r="F190" s="1" t="s">
        <v>43</v>
      </c>
      <c r="G190" s="1" t="s">
        <v>14</v>
      </c>
      <c r="H190" s="1">
        <v>2</v>
      </c>
      <c r="I190" s="1">
        <v>1003.86</v>
      </c>
      <c r="J190" s="1">
        <v>1806.95</v>
      </c>
    </row>
    <row r="191" spans="1:10" x14ac:dyDescent="0.3">
      <c r="A191" s="1">
        <v>10190</v>
      </c>
      <c r="B191" s="1">
        <v>1857</v>
      </c>
      <c r="C191" s="2">
        <v>45185</v>
      </c>
      <c r="D191" s="1" t="s">
        <v>21</v>
      </c>
      <c r="E191" s="1" t="s">
        <v>16</v>
      </c>
      <c r="F191" s="1" t="s">
        <v>35</v>
      </c>
      <c r="G191" s="1" t="s">
        <v>14</v>
      </c>
      <c r="H191" s="1">
        <v>2</v>
      </c>
      <c r="I191" s="1">
        <v>1372.59</v>
      </c>
      <c r="J191" s="1">
        <v>2607.92</v>
      </c>
    </row>
    <row r="192" spans="1:10" x14ac:dyDescent="0.3">
      <c r="A192" s="1">
        <v>10191</v>
      </c>
      <c r="B192" s="1">
        <v>1553</v>
      </c>
      <c r="C192" s="2">
        <v>45033</v>
      </c>
      <c r="D192" s="1" t="s">
        <v>26</v>
      </c>
      <c r="E192" s="1" t="s">
        <v>22</v>
      </c>
      <c r="F192" s="1" t="s">
        <v>38</v>
      </c>
      <c r="G192" s="1" t="s">
        <v>14</v>
      </c>
      <c r="H192" s="1">
        <v>7</v>
      </c>
      <c r="I192" s="1">
        <v>1148.6500000000001</v>
      </c>
      <c r="J192" s="1">
        <v>6834.47</v>
      </c>
    </row>
    <row r="193" spans="1:10" x14ac:dyDescent="0.3">
      <c r="A193" s="1">
        <v>10192</v>
      </c>
      <c r="B193" s="1">
        <v>1891</v>
      </c>
      <c r="C193" s="2">
        <v>45039</v>
      </c>
      <c r="D193" s="1" t="s">
        <v>10</v>
      </c>
      <c r="E193" s="1" t="s">
        <v>22</v>
      </c>
      <c r="F193" s="1" t="s">
        <v>41</v>
      </c>
      <c r="G193" s="1" t="s">
        <v>14</v>
      </c>
      <c r="H193" s="1">
        <v>2</v>
      </c>
      <c r="I193" s="1">
        <v>487.23</v>
      </c>
      <c r="J193" s="1">
        <v>828.29</v>
      </c>
    </row>
    <row r="194" spans="1:10" x14ac:dyDescent="0.3">
      <c r="A194" s="1">
        <v>10193</v>
      </c>
      <c r="B194" s="1">
        <v>1460</v>
      </c>
      <c r="C194" s="2">
        <v>45276</v>
      </c>
      <c r="D194" s="1" t="s">
        <v>31</v>
      </c>
      <c r="E194" s="1" t="s">
        <v>16</v>
      </c>
      <c r="F194" s="1" t="s">
        <v>35</v>
      </c>
      <c r="G194" s="1" t="s">
        <v>20</v>
      </c>
      <c r="H194" s="1">
        <v>4</v>
      </c>
      <c r="I194" s="1">
        <v>496.18</v>
      </c>
      <c r="J194" s="1">
        <v>1687.01</v>
      </c>
    </row>
    <row r="195" spans="1:10" x14ac:dyDescent="0.3">
      <c r="A195" s="1">
        <v>10194</v>
      </c>
      <c r="B195" s="1">
        <v>1690</v>
      </c>
      <c r="C195" s="2">
        <v>45180</v>
      </c>
      <c r="D195" s="1" t="s">
        <v>21</v>
      </c>
      <c r="E195" s="1" t="s">
        <v>16</v>
      </c>
      <c r="F195" s="1" t="s">
        <v>40</v>
      </c>
      <c r="G195" s="1" t="s">
        <v>30</v>
      </c>
      <c r="H195" s="1">
        <v>2</v>
      </c>
      <c r="I195" s="1">
        <v>894.01</v>
      </c>
      <c r="J195" s="1">
        <v>1519.82</v>
      </c>
    </row>
    <row r="196" spans="1:10" x14ac:dyDescent="0.3">
      <c r="A196" s="1">
        <v>10195</v>
      </c>
      <c r="B196" s="1">
        <v>1574</v>
      </c>
      <c r="C196" s="2">
        <v>45044</v>
      </c>
      <c r="D196" s="1" t="s">
        <v>21</v>
      </c>
      <c r="E196" s="1" t="s">
        <v>22</v>
      </c>
      <c r="F196" s="1" t="s">
        <v>46</v>
      </c>
      <c r="G196" s="1" t="s">
        <v>32</v>
      </c>
      <c r="H196" s="1">
        <v>6</v>
      </c>
      <c r="I196" s="1">
        <v>344.65</v>
      </c>
      <c r="J196" s="1">
        <v>1861.11</v>
      </c>
    </row>
    <row r="197" spans="1:10" x14ac:dyDescent="0.3">
      <c r="A197" s="1">
        <v>10196</v>
      </c>
      <c r="B197" s="1">
        <v>1863</v>
      </c>
      <c r="C197" s="2">
        <v>45124</v>
      </c>
      <c r="D197" s="1" t="s">
        <v>24</v>
      </c>
      <c r="E197" s="1" t="s">
        <v>29</v>
      </c>
      <c r="F197" s="1" t="s">
        <v>36</v>
      </c>
      <c r="G197" s="1" t="s">
        <v>14</v>
      </c>
      <c r="H197" s="1">
        <v>8</v>
      </c>
      <c r="I197" s="1">
        <v>2561.86</v>
      </c>
      <c r="J197" s="1">
        <v>20494.88</v>
      </c>
    </row>
    <row r="198" spans="1:10" x14ac:dyDescent="0.3">
      <c r="A198" s="1">
        <v>10197</v>
      </c>
      <c r="B198" s="1">
        <v>1742</v>
      </c>
      <c r="C198" s="2">
        <v>45263</v>
      </c>
      <c r="D198" s="1" t="s">
        <v>11</v>
      </c>
      <c r="E198" s="1" t="s">
        <v>22</v>
      </c>
      <c r="F198" s="1" t="s">
        <v>49</v>
      </c>
      <c r="G198" s="1" t="s">
        <v>30</v>
      </c>
      <c r="H198" s="1">
        <v>4</v>
      </c>
      <c r="I198" s="1">
        <v>1256.21</v>
      </c>
      <c r="J198" s="1">
        <v>4522.3599999999997</v>
      </c>
    </row>
    <row r="199" spans="1:10" x14ac:dyDescent="0.3">
      <c r="A199" s="1">
        <v>10198</v>
      </c>
      <c r="B199" s="1">
        <v>1240</v>
      </c>
      <c r="C199" s="2">
        <v>45291</v>
      </c>
      <c r="D199" s="1" t="s">
        <v>21</v>
      </c>
      <c r="E199" s="1" t="s">
        <v>27</v>
      </c>
      <c r="F199" s="1" t="s">
        <v>47</v>
      </c>
      <c r="G199" s="1" t="s">
        <v>30</v>
      </c>
      <c r="H199" s="1">
        <v>5</v>
      </c>
      <c r="I199" s="1">
        <v>1227.02</v>
      </c>
      <c r="J199" s="1">
        <v>5214.84</v>
      </c>
    </row>
    <row r="200" spans="1:10" x14ac:dyDescent="0.3">
      <c r="A200" s="1">
        <v>10199</v>
      </c>
      <c r="B200" s="1">
        <v>1563</v>
      </c>
      <c r="C200" s="2">
        <v>44977</v>
      </c>
      <c r="D200" s="1" t="s">
        <v>21</v>
      </c>
      <c r="E200" s="1" t="s">
        <v>22</v>
      </c>
      <c r="F200" s="1" t="s">
        <v>35</v>
      </c>
      <c r="G200" s="1" t="s">
        <v>32</v>
      </c>
      <c r="H200" s="1">
        <v>4</v>
      </c>
      <c r="I200" s="1">
        <v>1428.19</v>
      </c>
      <c r="J200" s="1">
        <v>5141.4799999999996</v>
      </c>
    </row>
    <row r="201" spans="1:10" x14ac:dyDescent="0.3">
      <c r="A201" s="1">
        <v>10200</v>
      </c>
      <c r="B201" s="1">
        <v>1095</v>
      </c>
      <c r="C201" s="2">
        <v>45171</v>
      </c>
      <c r="D201" s="1" t="s">
        <v>10</v>
      </c>
      <c r="E201" s="1" t="s">
        <v>29</v>
      </c>
      <c r="F201" s="1" t="s">
        <v>47</v>
      </c>
      <c r="G201" s="1" t="s">
        <v>20</v>
      </c>
      <c r="H201" s="1">
        <v>3</v>
      </c>
      <c r="I201" s="1">
        <v>2701.77</v>
      </c>
      <c r="J201" s="1">
        <v>6889.51</v>
      </c>
    </row>
    <row r="202" spans="1:10" x14ac:dyDescent="0.3">
      <c r="A202" s="1">
        <v>10201</v>
      </c>
      <c r="B202" s="1">
        <v>1899</v>
      </c>
      <c r="C202" s="2">
        <v>44961</v>
      </c>
      <c r="D202" s="1" t="s">
        <v>10</v>
      </c>
      <c r="E202" s="1" t="s">
        <v>27</v>
      </c>
      <c r="F202" s="1" t="s">
        <v>40</v>
      </c>
      <c r="G202" s="1" t="s">
        <v>18</v>
      </c>
      <c r="H202" s="1">
        <v>5</v>
      </c>
      <c r="I202" s="1">
        <v>3501.94</v>
      </c>
      <c r="J202" s="1">
        <v>14007.76</v>
      </c>
    </row>
    <row r="203" spans="1:10" x14ac:dyDescent="0.3">
      <c r="A203" s="1">
        <v>10202</v>
      </c>
      <c r="B203" s="1">
        <v>1733</v>
      </c>
      <c r="C203" s="2">
        <v>45228</v>
      </c>
      <c r="D203" s="1" t="s">
        <v>26</v>
      </c>
      <c r="E203" s="1" t="s">
        <v>12</v>
      </c>
      <c r="F203" s="1" t="s">
        <v>46</v>
      </c>
      <c r="G203" s="1" t="s">
        <v>18</v>
      </c>
      <c r="H203" s="1">
        <v>9</v>
      </c>
      <c r="I203" s="1">
        <v>3072.48</v>
      </c>
      <c r="J203" s="1">
        <v>27652.32</v>
      </c>
    </row>
    <row r="204" spans="1:10" x14ac:dyDescent="0.3">
      <c r="A204" s="1">
        <v>10203</v>
      </c>
      <c r="B204" s="1">
        <v>1484</v>
      </c>
      <c r="C204" s="2">
        <v>44995</v>
      </c>
      <c r="D204" s="1" t="s">
        <v>15</v>
      </c>
      <c r="E204" s="1" t="s">
        <v>12</v>
      </c>
      <c r="F204" s="1" t="s">
        <v>49</v>
      </c>
      <c r="G204" s="1" t="s">
        <v>30</v>
      </c>
      <c r="H204" s="1">
        <v>8</v>
      </c>
      <c r="I204" s="1">
        <v>2950.99</v>
      </c>
      <c r="J204" s="1">
        <v>18886.34</v>
      </c>
    </row>
    <row r="205" spans="1:10" x14ac:dyDescent="0.3">
      <c r="A205" s="1">
        <v>10204</v>
      </c>
      <c r="B205" s="1">
        <v>1406</v>
      </c>
      <c r="C205" s="2">
        <v>45275</v>
      </c>
      <c r="D205" s="1" t="s">
        <v>15</v>
      </c>
      <c r="E205" s="1" t="s">
        <v>29</v>
      </c>
      <c r="F205" s="1" t="s">
        <v>17</v>
      </c>
      <c r="G205" s="1" t="s">
        <v>32</v>
      </c>
      <c r="H205" s="1">
        <v>8</v>
      </c>
      <c r="I205" s="1">
        <v>2014.91</v>
      </c>
      <c r="J205" s="1">
        <v>15313.32</v>
      </c>
    </row>
    <row r="206" spans="1:10" x14ac:dyDescent="0.3">
      <c r="A206" s="1">
        <v>10205</v>
      </c>
      <c r="B206" s="1">
        <v>1230</v>
      </c>
      <c r="C206" s="2">
        <v>45246</v>
      </c>
      <c r="D206" s="1" t="s">
        <v>31</v>
      </c>
      <c r="E206" s="1" t="s">
        <v>22</v>
      </c>
      <c r="F206" s="1" t="s">
        <v>41</v>
      </c>
      <c r="G206" s="1" t="s">
        <v>18</v>
      </c>
      <c r="H206" s="1">
        <v>8</v>
      </c>
      <c r="I206" s="1">
        <v>2821.15</v>
      </c>
      <c r="J206" s="1">
        <v>20312.28</v>
      </c>
    </row>
    <row r="207" spans="1:10" x14ac:dyDescent="0.3">
      <c r="A207" s="1">
        <v>10206</v>
      </c>
      <c r="B207" s="1">
        <v>1748</v>
      </c>
      <c r="C207" s="2">
        <v>44975</v>
      </c>
      <c r="D207" s="1" t="s">
        <v>15</v>
      </c>
      <c r="E207" s="1" t="s">
        <v>16</v>
      </c>
      <c r="F207" s="1" t="s">
        <v>40</v>
      </c>
      <c r="G207" s="1" t="s">
        <v>30</v>
      </c>
      <c r="H207" s="1">
        <v>8</v>
      </c>
      <c r="I207" s="1">
        <v>2278.14</v>
      </c>
      <c r="J207" s="1">
        <v>17313.86</v>
      </c>
    </row>
    <row r="208" spans="1:10" x14ac:dyDescent="0.3">
      <c r="A208" s="1">
        <v>10207</v>
      </c>
      <c r="B208" s="1">
        <v>1654</v>
      </c>
      <c r="C208" s="2">
        <v>45000</v>
      </c>
      <c r="D208" s="1" t="s">
        <v>24</v>
      </c>
      <c r="E208" s="1" t="s">
        <v>29</v>
      </c>
      <c r="F208" s="1" t="s">
        <v>35</v>
      </c>
      <c r="G208" s="1" t="s">
        <v>20</v>
      </c>
      <c r="H208" s="1">
        <v>7</v>
      </c>
      <c r="I208" s="1">
        <v>982.56</v>
      </c>
      <c r="J208" s="1">
        <v>6190.13</v>
      </c>
    </row>
    <row r="209" spans="1:10" x14ac:dyDescent="0.3">
      <c r="A209" s="1">
        <v>10208</v>
      </c>
      <c r="B209" s="1">
        <v>1170</v>
      </c>
      <c r="C209" s="2">
        <v>45118</v>
      </c>
      <c r="D209" s="1" t="s">
        <v>31</v>
      </c>
      <c r="E209" s="1" t="s">
        <v>27</v>
      </c>
      <c r="F209" s="1" t="s">
        <v>36</v>
      </c>
      <c r="G209" s="1" t="s">
        <v>18</v>
      </c>
      <c r="H209" s="1">
        <v>8</v>
      </c>
      <c r="I209" s="1">
        <v>953.07</v>
      </c>
      <c r="J209" s="1">
        <v>6099.65</v>
      </c>
    </row>
    <row r="210" spans="1:10" x14ac:dyDescent="0.3">
      <c r="A210" s="1">
        <v>10209</v>
      </c>
      <c r="B210" s="1">
        <v>1540</v>
      </c>
      <c r="C210" s="2">
        <v>45187</v>
      </c>
      <c r="D210" s="1" t="s">
        <v>26</v>
      </c>
      <c r="E210" s="1" t="s">
        <v>27</v>
      </c>
      <c r="F210" s="1" t="s">
        <v>34</v>
      </c>
      <c r="G210" s="1" t="s">
        <v>30</v>
      </c>
      <c r="H210" s="1">
        <v>8</v>
      </c>
      <c r="I210" s="1">
        <v>1291.1099999999999</v>
      </c>
      <c r="J210" s="1">
        <v>8779.5499999999993</v>
      </c>
    </row>
    <row r="211" spans="1:10" x14ac:dyDescent="0.3">
      <c r="A211" s="1">
        <v>10210</v>
      </c>
      <c r="B211" s="1">
        <v>1035</v>
      </c>
      <c r="C211" s="2">
        <v>45282</v>
      </c>
      <c r="D211" s="1" t="s">
        <v>10</v>
      </c>
      <c r="E211" s="1" t="s">
        <v>12</v>
      </c>
      <c r="F211" s="1" t="s">
        <v>13</v>
      </c>
      <c r="G211" s="1" t="s">
        <v>30</v>
      </c>
      <c r="H211" s="1">
        <v>8</v>
      </c>
      <c r="I211" s="1">
        <v>3656.59</v>
      </c>
      <c r="J211" s="1">
        <v>24864.81</v>
      </c>
    </row>
    <row r="212" spans="1:10" x14ac:dyDescent="0.3">
      <c r="A212" s="1">
        <v>10211</v>
      </c>
      <c r="B212" s="1">
        <v>1524</v>
      </c>
      <c r="C212" s="2">
        <v>44996</v>
      </c>
      <c r="D212" s="1" t="s">
        <v>15</v>
      </c>
      <c r="E212" s="1" t="s">
        <v>27</v>
      </c>
      <c r="F212" s="1" t="s">
        <v>35</v>
      </c>
      <c r="G212" s="1" t="s">
        <v>14</v>
      </c>
      <c r="H212" s="1">
        <v>7</v>
      </c>
      <c r="I212" s="1">
        <v>2257.5500000000002</v>
      </c>
      <c r="J212" s="1">
        <v>14222.56</v>
      </c>
    </row>
    <row r="213" spans="1:10" x14ac:dyDescent="0.3">
      <c r="A213" s="1">
        <v>10212</v>
      </c>
      <c r="B213" s="1">
        <v>1159</v>
      </c>
      <c r="C213" s="2">
        <v>45016</v>
      </c>
      <c r="D213" s="1" t="s">
        <v>11</v>
      </c>
      <c r="E213" s="1" t="s">
        <v>29</v>
      </c>
      <c r="F213" s="1" t="s">
        <v>42</v>
      </c>
      <c r="G213" s="1" t="s">
        <v>20</v>
      </c>
      <c r="H213" s="1">
        <v>1</v>
      </c>
      <c r="I213" s="1">
        <v>2975.54</v>
      </c>
      <c r="J213" s="1">
        <v>2529.21</v>
      </c>
    </row>
    <row r="214" spans="1:10" x14ac:dyDescent="0.3">
      <c r="A214" s="1">
        <v>10213</v>
      </c>
      <c r="B214" s="1">
        <v>1838</v>
      </c>
      <c r="C214" s="2">
        <v>45186</v>
      </c>
      <c r="D214" s="1" t="s">
        <v>10</v>
      </c>
      <c r="E214" s="1" t="s">
        <v>27</v>
      </c>
      <c r="F214" s="1" t="s">
        <v>44</v>
      </c>
      <c r="G214" s="1" t="s">
        <v>14</v>
      </c>
      <c r="H214" s="1">
        <v>4</v>
      </c>
      <c r="I214" s="1">
        <v>1484.25</v>
      </c>
      <c r="J214" s="1">
        <v>4749.6000000000004</v>
      </c>
    </row>
    <row r="215" spans="1:10" x14ac:dyDescent="0.3">
      <c r="A215" s="1">
        <v>10214</v>
      </c>
      <c r="B215" s="1">
        <v>1698</v>
      </c>
      <c r="C215" s="2">
        <v>45052</v>
      </c>
      <c r="D215" s="1" t="s">
        <v>24</v>
      </c>
      <c r="E215" s="1" t="s">
        <v>29</v>
      </c>
      <c r="F215" s="1" t="s">
        <v>44</v>
      </c>
      <c r="G215" s="1" t="s">
        <v>32</v>
      </c>
      <c r="H215" s="1">
        <v>4</v>
      </c>
      <c r="I215" s="1">
        <v>1719.71</v>
      </c>
      <c r="J215" s="1">
        <v>5847.01</v>
      </c>
    </row>
    <row r="216" spans="1:10" x14ac:dyDescent="0.3">
      <c r="A216" s="1">
        <v>10215</v>
      </c>
      <c r="B216" s="1">
        <v>1242</v>
      </c>
      <c r="C216" s="2">
        <v>45157</v>
      </c>
      <c r="D216" s="1" t="s">
        <v>10</v>
      </c>
      <c r="E216" s="1" t="s">
        <v>16</v>
      </c>
      <c r="F216" s="1" t="s">
        <v>17</v>
      </c>
      <c r="G216" s="1" t="s">
        <v>14</v>
      </c>
      <c r="H216" s="1">
        <v>5</v>
      </c>
      <c r="I216" s="1">
        <v>633.42999999999995</v>
      </c>
      <c r="J216" s="1">
        <v>2533.7199999999998</v>
      </c>
    </row>
    <row r="217" spans="1:10" x14ac:dyDescent="0.3">
      <c r="A217" s="1">
        <v>10216</v>
      </c>
      <c r="B217" s="1">
        <v>1085</v>
      </c>
      <c r="C217" s="2">
        <v>45221</v>
      </c>
      <c r="D217" s="1" t="s">
        <v>24</v>
      </c>
      <c r="E217" s="1" t="s">
        <v>12</v>
      </c>
      <c r="F217" s="1" t="s">
        <v>48</v>
      </c>
      <c r="G217" s="1" t="s">
        <v>14</v>
      </c>
      <c r="H217" s="1">
        <v>6</v>
      </c>
      <c r="I217" s="1">
        <v>809.49</v>
      </c>
      <c r="J217" s="1">
        <v>4614.09</v>
      </c>
    </row>
    <row r="218" spans="1:10" x14ac:dyDescent="0.3">
      <c r="A218" s="1">
        <v>10217</v>
      </c>
      <c r="B218" s="1">
        <v>1795</v>
      </c>
      <c r="C218" s="2">
        <v>45055</v>
      </c>
      <c r="D218" s="1" t="s">
        <v>24</v>
      </c>
      <c r="E218" s="1" t="s">
        <v>27</v>
      </c>
      <c r="F218" s="1" t="s">
        <v>34</v>
      </c>
      <c r="G218" s="1" t="s">
        <v>18</v>
      </c>
      <c r="H218" s="1">
        <v>4</v>
      </c>
      <c r="I218" s="1">
        <v>3335.32</v>
      </c>
      <c r="J218" s="1">
        <v>10673.02</v>
      </c>
    </row>
    <row r="219" spans="1:10" x14ac:dyDescent="0.3">
      <c r="A219" s="1">
        <v>10218</v>
      </c>
      <c r="B219" s="1">
        <v>1577</v>
      </c>
      <c r="C219" s="2">
        <v>45206</v>
      </c>
      <c r="D219" s="1" t="s">
        <v>24</v>
      </c>
      <c r="E219" s="1" t="s">
        <v>29</v>
      </c>
      <c r="F219" s="1" t="s">
        <v>50</v>
      </c>
      <c r="G219" s="1" t="s">
        <v>30</v>
      </c>
      <c r="H219" s="1">
        <v>2</v>
      </c>
      <c r="I219" s="1">
        <v>2401.63</v>
      </c>
      <c r="J219" s="1">
        <v>4803.26</v>
      </c>
    </row>
    <row r="220" spans="1:10" x14ac:dyDescent="0.3">
      <c r="A220" s="1">
        <v>10219</v>
      </c>
      <c r="B220" s="1">
        <v>1681</v>
      </c>
      <c r="C220" s="2">
        <v>45239</v>
      </c>
      <c r="D220" s="1" t="s">
        <v>26</v>
      </c>
      <c r="E220" s="1" t="s">
        <v>22</v>
      </c>
      <c r="F220" s="1" t="s">
        <v>45</v>
      </c>
      <c r="G220" s="1" t="s">
        <v>20</v>
      </c>
      <c r="H220" s="1">
        <v>6</v>
      </c>
      <c r="I220" s="1">
        <v>1449.5</v>
      </c>
      <c r="J220" s="1">
        <v>8697</v>
      </c>
    </row>
    <row r="221" spans="1:10" x14ac:dyDescent="0.3">
      <c r="A221" s="1">
        <v>10220</v>
      </c>
      <c r="B221" s="1">
        <v>1556</v>
      </c>
      <c r="C221" s="2">
        <v>45026</v>
      </c>
      <c r="D221" s="1" t="s">
        <v>24</v>
      </c>
      <c r="E221" s="1" t="s">
        <v>12</v>
      </c>
      <c r="F221" s="1" t="s">
        <v>37</v>
      </c>
      <c r="G221" s="1" t="s">
        <v>14</v>
      </c>
      <c r="H221" s="1">
        <v>8</v>
      </c>
      <c r="I221" s="1">
        <v>3240.98</v>
      </c>
      <c r="J221" s="1">
        <v>25927.84</v>
      </c>
    </row>
    <row r="222" spans="1:10" x14ac:dyDescent="0.3">
      <c r="A222" s="1">
        <v>10221</v>
      </c>
      <c r="B222" s="1">
        <v>1573</v>
      </c>
      <c r="C222" s="2">
        <v>45252</v>
      </c>
      <c r="D222" s="1" t="s">
        <v>24</v>
      </c>
      <c r="E222" s="1" t="s">
        <v>16</v>
      </c>
      <c r="F222" s="1" t="s">
        <v>13</v>
      </c>
      <c r="G222" s="1" t="s">
        <v>20</v>
      </c>
      <c r="H222" s="1">
        <v>8</v>
      </c>
      <c r="I222" s="1">
        <v>1099.0999999999999</v>
      </c>
      <c r="J222" s="1">
        <v>7913.52</v>
      </c>
    </row>
    <row r="223" spans="1:10" x14ac:dyDescent="0.3">
      <c r="A223" s="1">
        <v>10222</v>
      </c>
      <c r="B223" s="1">
        <v>1952</v>
      </c>
      <c r="C223" s="2">
        <v>45223</v>
      </c>
      <c r="D223" s="1" t="s">
        <v>11</v>
      </c>
      <c r="E223" s="1" t="s">
        <v>29</v>
      </c>
      <c r="F223" s="1" t="s">
        <v>35</v>
      </c>
      <c r="G223" s="1" t="s">
        <v>14</v>
      </c>
      <c r="H223" s="1">
        <v>7</v>
      </c>
      <c r="I223" s="1">
        <v>3907.73</v>
      </c>
      <c r="J223" s="1">
        <v>24618.7</v>
      </c>
    </row>
    <row r="224" spans="1:10" x14ac:dyDescent="0.3">
      <c r="A224" s="1">
        <v>10223</v>
      </c>
      <c r="B224" s="1">
        <v>1645</v>
      </c>
      <c r="C224" s="2">
        <v>45108</v>
      </c>
      <c r="D224" s="1" t="s">
        <v>31</v>
      </c>
      <c r="E224" s="1" t="s">
        <v>16</v>
      </c>
      <c r="F224" s="1" t="s">
        <v>40</v>
      </c>
      <c r="G224" s="1" t="s">
        <v>32</v>
      </c>
      <c r="H224" s="1">
        <v>6</v>
      </c>
      <c r="I224" s="1">
        <v>1477.55</v>
      </c>
      <c r="J224" s="1">
        <v>7978.77</v>
      </c>
    </row>
    <row r="225" spans="1:10" x14ac:dyDescent="0.3">
      <c r="A225" s="1">
        <v>10224</v>
      </c>
      <c r="B225" s="1">
        <v>1795</v>
      </c>
      <c r="C225" s="2">
        <v>45100</v>
      </c>
      <c r="D225" s="1" t="s">
        <v>21</v>
      </c>
      <c r="E225" s="1" t="s">
        <v>16</v>
      </c>
      <c r="F225" s="1" t="s">
        <v>39</v>
      </c>
      <c r="G225" s="1" t="s">
        <v>14</v>
      </c>
      <c r="H225" s="1">
        <v>2</v>
      </c>
      <c r="I225" s="1">
        <v>1448.65</v>
      </c>
      <c r="J225" s="1">
        <v>2317.84</v>
      </c>
    </row>
    <row r="226" spans="1:10" x14ac:dyDescent="0.3">
      <c r="A226" s="1">
        <v>10225</v>
      </c>
      <c r="B226" s="1">
        <v>1027</v>
      </c>
      <c r="C226" s="2">
        <v>45242</v>
      </c>
      <c r="D226" s="1" t="s">
        <v>31</v>
      </c>
      <c r="E226" s="1" t="s">
        <v>27</v>
      </c>
      <c r="F226" s="1" t="s">
        <v>36</v>
      </c>
      <c r="G226" s="1" t="s">
        <v>18</v>
      </c>
      <c r="H226" s="1">
        <v>7</v>
      </c>
      <c r="I226" s="1">
        <v>1350.86</v>
      </c>
      <c r="J226" s="1">
        <v>8510.42</v>
      </c>
    </row>
    <row r="227" spans="1:10" x14ac:dyDescent="0.3">
      <c r="A227" s="1">
        <v>10226</v>
      </c>
      <c r="B227" s="1">
        <v>1619</v>
      </c>
      <c r="C227" s="2">
        <v>45290</v>
      </c>
      <c r="D227" s="1" t="s">
        <v>24</v>
      </c>
      <c r="E227" s="1" t="s">
        <v>27</v>
      </c>
      <c r="F227" s="1" t="s">
        <v>44</v>
      </c>
      <c r="G227" s="1" t="s">
        <v>30</v>
      </c>
      <c r="H227" s="1">
        <v>5</v>
      </c>
      <c r="I227" s="1">
        <v>620.13</v>
      </c>
      <c r="J227" s="1">
        <v>2945.62</v>
      </c>
    </row>
    <row r="228" spans="1:10" x14ac:dyDescent="0.3">
      <c r="A228" s="1">
        <v>10227</v>
      </c>
      <c r="B228" s="1">
        <v>1555</v>
      </c>
      <c r="C228" s="2">
        <v>45114</v>
      </c>
      <c r="D228" s="1" t="s">
        <v>11</v>
      </c>
      <c r="E228" s="1" t="s">
        <v>29</v>
      </c>
      <c r="F228" s="1" t="s">
        <v>37</v>
      </c>
      <c r="G228" s="1" t="s">
        <v>32</v>
      </c>
      <c r="H228" s="1">
        <v>6</v>
      </c>
      <c r="I228" s="1">
        <v>577.88</v>
      </c>
      <c r="J228" s="1">
        <v>3467.28</v>
      </c>
    </row>
    <row r="229" spans="1:10" x14ac:dyDescent="0.3">
      <c r="A229" s="1">
        <v>10228</v>
      </c>
      <c r="B229" s="1">
        <v>1339</v>
      </c>
      <c r="C229" s="2">
        <v>44983</v>
      </c>
      <c r="D229" s="1" t="s">
        <v>10</v>
      </c>
      <c r="E229" s="1" t="s">
        <v>22</v>
      </c>
      <c r="F229" s="1" t="s">
        <v>43</v>
      </c>
      <c r="G229" s="1" t="s">
        <v>14</v>
      </c>
      <c r="H229" s="1">
        <v>8</v>
      </c>
      <c r="I229" s="1">
        <v>2645.2</v>
      </c>
      <c r="J229" s="1">
        <v>16929.28</v>
      </c>
    </row>
    <row r="230" spans="1:10" x14ac:dyDescent="0.3">
      <c r="A230" s="1">
        <v>10229</v>
      </c>
      <c r="B230" s="1">
        <v>1797</v>
      </c>
      <c r="C230" s="2">
        <v>44957</v>
      </c>
      <c r="D230" s="1" t="s">
        <v>11</v>
      </c>
      <c r="E230" s="1" t="s">
        <v>29</v>
      </c>
      <c r="F230" s="1" t="s">
        <v>49</v>
      </c>
      <c r="G230" s="1" t="s">
        <v>20</v>
      </c>
      <c r="H230" s="1">
        <v>8</v>
      </c>
      <c r="I230" s="1">
        <v>3519.2</v>
      </c>
      <c r="J230" s="1">
        <v>28153.599999999999</v>
      </c>
    </row>
    <row r="231" spans="1:10" x14ac:dyDescent="0.3">
      <c r="A231" s="1">
        <v>10230</v>
      </c>
      <c r="B231" s="1">
        <v>1957</v>
      </c>
      <c r="C231" s="2">
        <v>45010</v>
      </c>
      <c r="D231" s="1" t="s">
        <v>24</v>
      </c>
      <c r="E231" s="1" t="s">
        <v>22</v>
      </c>
      <c r="F231" s="1" t="s">
        <v>43</v>
      </c>
      <c r="G231" s="1" t="s">
        <v>32</v>
      </c>
      <c r="H231" s="1">
        <v>3</v>
      </c>
      <c r="I231" s="1">
        <v>3193.5</v>
      </c>
      <c r="J231" s="1">
        <v>8622.4500000000007</v>
      </c>
    </row>
    <row r="232" spans="1:10" x14ac:dyDescent="0.3">
      <c r="A232" s="1">
        <v>10231</v>
      </c>
      <c r="B232" s="1">
        <v>1330</v>
      </c>
      <c r="C232" s="2">
        <v>45078</v>
      </c>
      <c r="D232" s="1" t="s">
        <v>11</v>
      </c>
      <c r="E232" s="1" t="s">
        <v>16</v>
      </c>
      <c r="F232" s="1" t="s">
        <v>23</v>
      </c>
      <c r="G232" s="1" t="s">
        <v>32</v>
      </c>
      <c r="H232" s="1">
        <v>7</v>
      </c>
      <c r="I232" s="1">
        <v>693.26</v>
      </c>
      <c r="J232" s="1">
        <v>3882.26</v>
      </c>
    </row>
    <row r="233" spans="1:10" x14ac:dyDescent="0.3">
      <c r="A233" s="1">
        <v>10232</v>
      </c>
      <c r="B233" s="1">
        <v>1639</v>
      </c>
      <c r="C233" s="2">
        <v>44962</v>
      </c>
      <c r="D233" s="1" t="s">
        <v>15</v>
      </c>
      <c r="E233" s="1" t="s">
        <v>12</v>
      </c>
      <c r="F233" s="1" t="s">
        <v>40</v>
      </c>
      <c r="G233" s="1" t="s">
        <v>14</v>
      </c>
      <c r="H233" s="1">
        <v>1</v>
      </c>
      <c r="I233" s="1">
        <v>2250.4899999999998</v>
      </c>
      <c r="J233" s="1">
        <v>1912.92</v>
      </c>
    </row>
    <row r="234" spans="1:10" x14ac:dyDescent="0.3">
      <c r="A234" s="1">
        <v>10233</v>
      </c>
      <c r="B234" s="1">
        <v>1505</v>
      </c>
      <c r="C234" s="2">
        <v>45139</v>
      </c>
      <c r="D234" s="1" t="s">
        <v>11</v>
      </c>
      <c r="E234" s="1" t="s">
        <v>29</v>
      </c>
      <c r="F234" s="1" t="s">
        <v>37</v>
      </c>
      <c r="G234" s="1" t="s">
        <v>32</v>
      </c>
      <c r="H234" s="1">
        <v>1</v>
      </c>
      <c r="I234" s="1">
        <v>556.53</v>
      </c>
      <c r="J234" s="1">
        <v>528.70000000000005</v>
      </c>
    </row>
    <row r="235" spans="1:10" x14ac:dyDescent="0.3">
      <c r="A235" s="1">
        <v>10234</v>
      </c>
      <c r="B235" s="1">
        <v>1347</v>
      </c>
      <c r="C235" s="2">
        <v>45290</v>
      </c>
      <c r="D235" s="1" t="s">
        <v>24</v>
      </c>
      <c r="E235" s="1" t="s">
        <v>29</v>
      </c>
      <c r="F235" s="1" t="s">
        <v>33</v>
      </c>
      <c r="G235" s="1" t="s">
        <v>20</v>
      </c>
      <c r="H235" s="1">
        <v>7</v>
      </c>
      <c r="I235" s="1">
        <v>324.38</v>
      </c>
      <c r="J235" s="1">
        <v>2043.59</v>
      </c>
    </row>
    <row r="236" spans="1:10" x14ac:dyDescent="0.3">
      <c r="A236" s="1">
        <v>10235</v>
      </c>
      <c r="B236" s="1">
        <v>1472</v>
      </c>
      <c r="C236" s="2">
        <v>45032</v>
      </c>
      <c r="D236" s="1" t="s">
        <v>26</v>
      </c>
      <c r="E236" s="1" t="s">
        <v>22</v>
      </c>
      <c r="F236" s="1" t="s">
        <v>41</v>
      </c>
      <c r="G236" s="1" t="s">
        <v>32</v>
      </c>
      <c r="H236" s="1">
        <v>9</v>
      </c>
      <c r="I236" s="1">
        <v>2677.09</v>
      </c>
      <c r="J236" s="1">
        <v>21684.43</v>
      </c>
    </row>
    <row r="237" spans="1:10" x14ac:dyDescent="0.3">
      <c r="A237" s="1">
        <v>10236</v>
      </c>
      <c r="B237" s="1">
        <v>1230</v>
      </c>
      <c r="C237" s="2">
        <v>45268</v>
      </c>
      <c r="D237" s="1" t="s">
        <v>15</v>
      </c>
      <c r="E237" s="1" t="s">
        <v>16</v>
      </c>
      <c r="F237" s="1" t="s">
        <v>41</v>
      </c>
      <c r="G237" s="1" t="s">
        <v>20</v>
      </c>
      <c r="H237" s="1">
        <v>7</v>
      </c>
      <c r="I237" s="1">
        <v>2210.34</v>
      </c>
      <c r="J237" s="1">
        <v>14698.76</v>
      </c>
    </row>
    <row r="238" spans="1:10" x14ac:dyDescent="0.3">
      <c r="A238" s="1">
        <v>10237</v>
      </c>
      <c r="B238" s="1">
        <v>1189</v>
      </c>
      <c r="C238" s="2">
        <v>45146</v>
      </c>
      <c r="D238" s="1" t="s">
        <v>11</v>
      </c>
      <c r="E238" s="1" t="s">
        <v>16</v>
      </c>
      <c r="F238" s="1" t="s">
        <v>13</v>
      </c>
      <c r="G238" s="1" t="s">
        <v>14</v>
      </c>
      <c r="H238" s="1">
        <v>5</v>
      </c>
      <c r="I238" s="1">
        <v>465.79</v>
      </c>
      <c r="J238" s="1">
        <v>2212.5</v>
      </c>
    </row>
    <row r="239" spans="1:10" x14ac:dyDescent="0.3">
      <c r="A239" s="1">
        <v>10238</v>
      </c>
      <c r="B239" s="1">
        <v>1224</v>
      </c>
      <c r="C239" s="2">
        <v>45089</v>
      </c>
      <c r="D239" s="1" t="s">
        <v>21</v>
      </c>
      <c r="E239" s="1" t="s">
        <v>22</v>
      </c>
      <c r="F239" s="1" t="s">
        <v>43</v>
      </c>
      <c r="G239" s="1" t="s">
        <v>30</v>
      </c>
      <c r="H239" s="1">
        <v>8</v>
      </c>
      <c r="I239" s="1">
        <v>284.52</v>
      </c>
      <c r="J239" s="1">
        <v>1934.74</v>
      </c>
    </row>
    <row r="240" spans="1:10" x14ac:dyDescent="0.3">
      <c r="A240" s="1">
        <v>10239</v>
      </c>
      <c r="B240" s="1">
        <v>1384</v>
      </c>
      <c r="C240" s="2">
        <v>45146</v>
      </c>
      <c r="D240" s="1" t="s">
        <v>21</v>
      </c>
      <c r="E240" s="1" t="s">
        <v>16</v>
      </c>
      <c r="F240" s="1" t="s">
        <v>44</v>
      </c>
      <c r="G240" s="1" t="s">
        <v>32</v>
      </c>
      <c r="H240" s="1">
        <v>2</v>
      </c>
      <c r="I240" s="1">
        <v>3960.56</v>
      </c>
      <c r="J240" s="1">
        <v>7129.01</v>
      </c>
    </row>
    <row r="241" spans="1:10" x14ac:dyDescent="0.3">
      <c r="A241" s="1">
        <v>10240</v>
      </c>
      <c r="B241" s="1">
        <v>1376</v>
      </c>
      <c r="C241" s="2">
        <v>45196</v>
      </c>
      <c r="D241" s="1" t="s">
        <v>11</v>
      </c>
      <c r="E241" s="1" t="s">
        <v>27</v>
      </c>
      <c r="F241" s="1" t="s">
        <v>48</v>
      </c>
      <c r="G241" s="1" t="s">
        <v>30</v>
      </c>
      <c r="H241" s="1">
        <v>9</v>
      </c>
      <c r="I241" s="1">
        <v>265.58</v>
      </c>
      <c r="J241" s="1">
        <v>2151.1999999999998</v>
      </c>
    </row>
    <row r="242" spans="1:10" x14ac:dyDescent="0.3">
      <c r="A242" s="1">
        <v>10241</v>
      </c>
      <c r="B242" s="1">
        <v>1282</v>
      </c>
      <c r="C242" s="2">
        <v>45046</v>
      </c>
      <c r="D242" s="1" t="s">
        <v>26</v>
      </c>
      <c r="E242" s="1" t="s">
        <v>12</v>
      </c>
      <c r="F242" s="1" t="s">
        <v>47</v>
      </c>
      <c r="G242" s="1" t="s">
        <v>20</v>
      </c>
      <c r="H242" s="1">
        <v>6</v>
      </c>
      <c r="I242" s="1">
        <v>1861.43</v>
      </c>
      <c r="J242" s="1">
        <v>11168.58</v>
      </c>
    </row>
    <row r="243" spans="1:10" x14ac:dyDescent="0.3">
      <c r="A243" s="1">
        <v>10242</v>
      </c>
      <c r="B243" s="1">
        <v>1957</v>
      </c>
      <c r="C243" s="2">
        <v>45262</v>
      </c>
      <c r="D243" s="1" t="s">
        <v>10</v>
      </c>
      <c r="E243" s="1" t="s">
        <v>29</v>
      </c>
      <c r="F243" s="1" t="s">
        <v>45</v>
      </c>
      <c r="G243" s="1" t="s">
        <v>32</v>
      </c>
      <c r="H243" s="1">
        <v>9</v>
      </c>
      <c r="I243" s="1">
        <v>2092.7800000000002</v>
      </c>
      <c r="J243" s="1">
        <v>15068.02</v>
      </c>
    </row>
    <row r="244" spans="1:10" x14ac:dyDescent="0.3">
      <c r="A244" s="1">
        <v>10243</v>
      </c>
      <c r="B244" s="1">
        <v>1632</v>
      </c>
      <c r="C244" s="2">
        <v>45108</v>
      </c>
      <c r="D244" s="1" t="s">
        <v>24</v>
      </c>
      <c r="E244" s="1" t="s">
        <v>12</v>
      </c>
      <c r="F244" s="1" t="s">
        <v>40</v>
      </c>
      <c r="G244" s="1" t="s">
        <v>18</v>
      </c>
      <c r="H244" s="1">
        <v>2</v>
      </c>
      <c r="I244" s="1">
        <v>601.53</v>
      </c>
      <c r="J244" s="1">
        <v>962.45</v>
      </c>
    </row>
    <row r="245" spans="1:10" x14ac:dyDescent="0.3">
      <c r="A245" s="1">
        <v>10244</v>
      </c>
      <c r="B245" s="1">
        <v>1627</v>
      </c>
      <c r="C245" s="2">
        <v>45032</v>
      </c>
      <c r="D245" s="1" t="s">
        <v>21</v>
      </c>
      <c r="E245" s="1" t="s">
        <v>29</v>
      </c>
      <c r="F245" s="1" t="s">
        <v>36</v>
      </c>
      <c r="G245" s="1" t="s">
        <v>30</v>
      </c>
      <c r="H245" s="1">
        <v>3</v>
      </c>
      <c r="I245" s="1">
        <v>800.89</v>
      </c>
      <c r="J245" s="1">
        <v>2402.67</v>
      </c>
    </row>
    <row r="246" spans="1:10" x14ac:dyDescent="0.3">
      <c r="A246" s="1">
        <v>10245</v>
      </c>
      <c r="B246" s="1">
        <v>1972</v>
      </c>
      <c r="C246" s="2">
        <v>45143</v>
      </c>
      <c r="D246" s="1" t="s">
        <v>10</v>
      </c>
      <c r="E246" s="1" t="s">
        <v>27</v>
      </c>
      <c r="F246" s="1" t="s">
        <v>35</v>
      </c>
      <c r="G246" s="1" t="s">
        <v>32</v>
      </c>
      <c r="H246" s="1">
        <v>8</v>
      </c>
      <c r="I246" s="1">
        <v>1504.45</v>
      </c>
      <c r="J246" s="1">
        <v>9628.48</v>
      </c>
    </row>
    <row r="247" spans="1:10" x14ac:dyDescent="0.3">
      <c r="A247" s="1">
        <v>10246</v>
      </c>
      <c r="B247" s="1">
        <v>1744</v>
      </c>
      <c r="C247" s="2">
        <v>45131</v>
      </c>
      <c r="D247" s="1" t="s">
        <v>11</v>
      </c>
      <c r="E247" s="1" t="s">
        <v>16</v>
      </c>
      <c r="F247" s="1" t="s">
        <v>36</v>
      </c>
      <c r="G247" s="1" t="s">
        <v>30</v>
      </c>
      <c r="H247" s="1">
        <v>1</v>
      </c>
      <c r="I247" s="1">
        <v>3082.45</v>
      </c>
      <c r="J247" s="1">
        <v>2928.33</v>
      </c>
    </row>
    <row r="248" spans="1:10" x14ac:dyDescent="0.3">
      <c r="A248" s="1">
        <v>10247</v>
      </c>
      <c r="B248" s="1">
        <v>1258</v>
      </c>
      <c r="C248" s="2">
        <v>44996</v>
      </c>
      <c r="D248" s="1" t="s">
        <v>10</v>
      </c>
      <c r="E248" s="1" t="s">
        <v>22</v>
      </c>
      <c r="F248" s="1" t="s">
        <v>45</v>
      </c>
      <c r="G248" s="1" t="s">
        <v>32</v>
      </c>
      <c r="H248" s="1">
        <v>7</v>
      </c>
      <c r="I248" s="1">
        <v>2102.27</v>
      </c>
      <c r="J248" s="1">
        <v>11772.71</v>
      </c>
    </row>
    <row r="249" spans="1:10" x14ac:dyDescent="0.3">
      <c r="A249" s="1">
        <v>10248</v>
      </c>
      <c r="B249" s="1">
        <v>1358</v>
      </c>
      <c r="C249" s="2">
        <v>44970</v>
      </c>
      <c r="D249" s="1" t="s">
        <v>15</v>
      </c>
      <c r="E249" s="1" t="s">
        <v>27</v>
      </c>
      <c r="F249" s="1" t="s">
        <v>25</v>
      </c>
      <c r="G249" s="1" t="s">
        <v>14</v>
      </c>
      <c r="H249" s="1">
        <v>7</v>
      </c>
      <c r="I249" s="1">
        <v>2605.92</v>
      </c>
      <c r="J249" s="1">
        <v>14593.15</v>
      </c>
    </row>
    <row r="250" spans="1:10" x14ac:dyDescent="0.3">
      <c r="A250" s="1">
        <v>10249</v>
      </c>
      <c r="B250" s="1">
        <v>1709</v>
      </c>
      <c r="C250" s="2">
        <v>45255</v>
      </c>
      <c r="D250" s="1" t="s">
        <v>31</v>
      </c>
      <c r="E250" s="1" t="s">
        <v>12</v>
      </c>
      <c r="F250" s="1" t="s">
        <v>46</v>
      </c>
      <c r="G250" s="1" t="s">
        <v>30</v>
      </c>
      <c r="H250" s="1">
        <v>1</v>
      </c>
      <c r="I250" s="1">
        <v>3942.92</v>
      </c>
      <c r="J250" s="1">
        <v>3942.92</v>
      </c>
    </row>
    <row r="251" spans="1:10" x14ac:dyDescent="0.3">
      <c r="A251" s="1">
        <v>10250</v>
      </c>
      <c r="B251" s="1">
        <v>1455</v>
      </c>
      <c r="C251" s="2">
        <v>45227</v>
      </c>
      <c r="D251" s="1" t="s">
        <v>21</v>
      </c>
      <c r="E251" s="1" t="s">
        <v>22</v>
      </c>
      <c r="F251" s="1" t="s">
        <v>50</v>
      </c>
      <c r="G251" s="1" t="s">
        <v>18</v>
      </c>
      <c r="H251" s="1">
        <v>9</v>
      </c>
      <c r="I251" s="1">
        <v>3106.82</v>
      </c>
      <c r="J251" s="1">
        <v>23767.17</v>
      </c>
    </row>
    <row r="252" spans="1:10" x14ac:dyDescent="0.3">
      <c r="A252" s="1">
        <v>10251</v>
      </c>
      <c r="B252" s="1">
        <v>1410</v>
      </c>
      <c r="C252" s="2">
        <v>45154</v>
      </c>
      <c r="D252" s="1" t="s">
        <v>11</v>
      </c>
      <c r="E252" s="1" t="s">
        <v>16</v>
      </c>
      <c r="F252" s="1" t="s">
        <v>33</v>
      </c>
      <c r="G252" s="1" t="s">
        <v>18</v>
      </c>
      <c r="H252" s="1">
        <v>8</v>
      </c>
      <c r="I252" s="1">
        <v>1822.29</v>
      </c>
      <c r="J252" s="1">
        <v>11662.66</v>
      </c>
    </row>
    <row r="253" spans="1:10" x14ac:dyDescent="0.3">
      <c r="A253" s="1">
        <v>10252</v>
      </c>
      <c r="B253" s="1">
        <v>1648</v>
      </c>
      <c r="C253" s="2">
        <v>45110</v>
      </c>
      <c r="D253" s="1" t="s">
        <v>24</v>
      </c>
      <c r="E253" s="1" t="s">
        <v>27</v>
      </c>
      <c r="F253" s="1" t="s">
        <v>41</v>
      </c>
      <c r="G253" s="1" t="s">
        <v>20</v>
      </c>
      <c r="H253" s="1">
        <v>4</v>
      </c>
      <c r="I253" s="1">
        <v>1868.8</v>
      </c>
      <c r="J253" s="1">
        <v>5980.16</v>
      </c>
    </row>
    <row r="254" spans="1:10" x14ac:dyDescent="0.3">
      <c r="A254" s="1">
        <v>10253</v>
      </c>
      <c r="B254" s="1">
        <v>1317</v>
      </c>
      <c r="C254" s="2">
        <v>45033</v>
      </c>
      <c r="D254" s="1" t="s">
        <v>26</v>
      </c>
      <c r="E254" s="1" t="s">
        <v>22</v>
      </c>
      <c r="F254" s="1" t="s">
        <v>13</v>
      </c>
      <c r="G254" s="1" t="s">
        <v>32</v>
      </c>
      <c r="H254" s="1">
        <v>5</v>
      </c>
      <c r="I254" s="1">
        <v>2532.27</v>
      </c>
      <c r="J254" s="1">
        <v>10762.15</v>
      </c>
    </row>
    <row r="255" spans="1:10" x14ac:dyDescent="0.3">
      <c r="A255" s="1">
        <v>10254</v>
      </c>
      <c r="B255" s="1">
        <v>1676</v>
      </c>
      <c r="C255" s="2">
        <v>45010</v>
      </c>
      <c r="D255" s="1" t="s">
        <v>15</v>
      </c>
      <c r="E255" s="1" t="s">
        <v>27</v>
      </c>
      <c r="F255" s="1" t="s">
        <v>45</v>
      </c>
      <c r="G255" s="1" t="s">
        <v>30</v>
      </c>
      <c r="H255" s="1">
        <v>2</v>
      </c>
      <c r="I255" s="1">
        <v>2711.66</v>
      </c>
      <c r="J255" s="1">
        <v>5423.32</v>
      </c>
    </row>
    <row r="256" spans="1:10" x14ac:dyDescent="0.3">
      <c r="A256" s="1">
        <v>10255</v>
      </c>
      <c r="B256" s="1">
        <v>1224</v>
      </c>
      <c r="C256" s="2">
        <v>45264</v>
      </c>
      <c r="D256" s="1" t="s">
        <v>11</v>
      </c>
      <c r="E256" s="1" t="s">
        <v>27</v>
      </c>
      <c r="F256" s="1" t="s">
        <v>13</v>
      </c>
      <c r="G256" s="1" t="s">
        <v>20</v>
      </c>
      <c r="H256" s="1">
        <v>9</v>
      </c>
      <c r="I256" s="1">
        <v>2077.7399999999998</v>
      </c>
      <c r="J256" s="1">
        <v>15894.71</v>
      </c>
    </row>
    <row r="257" spans="1:10" x14ac:dyDescent="0.3">
      <c r="A257" s="1">
        <v>10256</v>
      </c>
      <c r="B257" s="1">
        <v>1818</v>
      </c>
      <c r="C257" s="2">
        <v>45176</v>
      </c>
      <c r="D257" s="1" t="s">
        <v>24</v>
      </c>
      <c r="E257" s="1" t="s">
        <v>16</v>
      </c>
      <c r="F257" s="1" t="s">
        <v>13</v>
      </c>
      <c r="G257" s="1" t="s">
        <v>30</v>
      </c>
      <c r="H257" s="1">
        <v>6</v>
      </c>
      <c r="I257" s="1">
        <v>2632.72</v>
      </c>
      <c r="J257" s="1">
        <v>15796.32</v>
      </c>
    </row>
    <row r="258" spans="1:10" x14ac:dyDescent="0.3">
      <c r="A258" s="1">
        <v>10257</v>
      </c>
      <c r="B258" s="1">
        <v>1233</v>
      </c>
      <c r="C258" s="2">
        <v>45289</v>
      </c>
      <c r="D258" s="1" t="s">
        <v>26</v>
      </c>
      <c r="E258" s="1" t="s">
        <v>29</v>
      </c>
      <c r="F258" s="1" t="s">
        <v>19</v>
      </c>
      <c r="G258" s="1" t="s">
        <v>32</v>
      </c>
      <c r="H258" s="1">
        <v>3</v>
      </c>
      <c r="I258" s="1">
        <v>240.6</v>
      </c>
      <c r="J258" s="1">
        <v>685.71</v>
      </c>
    </row>
    <row r="259" spans="1:10" x14ac:dyDescent="0.3">
      <c r="A259" s="1">
        <v>10258</v>
      </c>
      <c r="B259" s="1">
        <v>1683</v>
      </c>
      <c r="C259" s="2">
        <v>44947</v>
      </c>
      <c r="D259" s="1" t="s">
        <v>26</v>
      </c>
      <c r="E259" s="1" t="s">
        <v>22</v>
      </c>
      <c r="F259" s="1" t="s">
        <v>40</v>
      </c>
      <c r="G259" s="1" t="s">
        <v>18</v>
      </c>
      <c r="H259" s="1">
        <v>7</v>
      </c>
      <c r="I259" s="1">
        <v>1804.05</v>
      </c>
      <c r="J259" s="1">
        <v>12628.35</v>
      </c>
    </row>
    <row r="260" spans="1:10" x14ac:dyDescent="0.3">
      <c r="A260" s="1">
        <v>10259</v>
      </c>
      <c r="B260" s="1">
        <v>1663</v>
      </c>
      <c r="C260" s="2">
        <v>45122</v>
      </c>
      <c r="D260" s="1" t="s">
        <v>11</v>
      </c>
      <c r="E260" s="1" t="s">
        <v>16</v>
      </c>
      <c r="F260" s="1" t="s">
        <v>35</v>
      </c>
      <c r="G260" s="1" t="s">
        <v>14</v>
      </c>
      <c r="H260" s="1">
        <v>9</v>
      </c>
      <c r="I260" s="1">
        <v>1223.9100000000001</v>
      </c>
      <c r="J260" s="1">
        <v>10464.43</v>
      </c>
    </row>
    <row r="261" spans="1:10" x14ac:dyDescent="0.3">
      <c r="A261" s="1">
        <v>10260</v>
      </c>
      <c r="B261" s="1">
        <v>1974</v>
      </c>
      <c r="C261" s="2">
        <v>45104</v>
      </c>
      <c r="D261" s="1" t="s">
        <v>15</v>
      </c>
      <c r="E261" s="1" t="s">
        <v>27</v>
      </c>
      <c r="F261" s="1" t="s">
        <v>46</v>
      </c>
      <c r="G261" s="1" t="s">
        <v>18</v>
      </c>
      <c r="H261" s="1">
        <v>3</v>
      </c>
      <c r="I261" s="1">
        <v>647.32000000000005</v>
      </c>
      <c r="J261" s="1">
        <v>1844.86</v>
      </c>
    </row>
    <row r="262" spans="1:10" x14ac:dyDescent="0.3">
      <c r="A262" s="1">
        <v>10261</v>
      </c>
      <c r="B262" s="1">
        <v>1826</v>
      </c>
      <c r="C262" s="2">
        <v>44933</v>
      </c>
      <c r="D262" s="1" t="s">
        <v>10</v>
      </c>
      <c r="E262" s="1" t="s">
        <v>16</v>
      </c>
      <c r="F262" s="1" t="s">
        <v>19</v>
      </c>
      <c r="G262" s="1" t="s">
        <v>20</v>
      </c>
      <c r="H262" s="1">
        <v>2</v>
      </c>
      <c r="I262" s="1">
        <v>533.25</v>
      </c>
      <c r="J262" s="1">
        <v>1066.5</v>
      </c>
    </row>
    <row r="263" spans="1:10" x14ac:dyDescent="0.3">
      <c r="A263" s="1">
        <v>10262</v>
      </c>
      <c r="B263" s="1">
        <v>1373</v>
      </c>
      <c r="C263" s="2">
        <v>44996</v>
      </c>
      <c r="D263" s="1" t="s">
        <v>10</v>
      </c>
      <c r="E263" s="1" t="s">
        <v>29</v>
      </c>
      <c r="F263" s="1" t="s">
        <v>40</v>
      </c>
      <c r="G263" s="1" t="s">
        <v>14</v>
      </c>
      <c r="H263" s="1">
        <v>7</v>
      </c>
      <c r="I263" s="1">
        <v>2472.29</v>
      </c>
      <c r="J263" s="1">
        <v>15575.43</v>
      </c>
    </row>
    <row r="264" spans="1:10" x14ac:dyDescent="0.3">
      <c r="A264" s="1">
        <v>10263</v>
      </c>
      <c r="B264" s="1">
        <v>1671</v>
      </c>
      <c r="C264" s="2">
        <v>45053</v>
      </c>
      <c r="D264" s="1" t="s">
        <v>26</v>
      </c>
      <c r="E264" s="1" t="s">
        <v>22</v>
      </c>
      <c r="F264" s="1" t="s">
        <v>44</v>
      </c>
      <c r="G264" s="1" t="s">
        <v>20</v>
      </c>
      <c r="H264" s="1">
        <v>7</v>
      </c>
      <c r="I264" s="1">
        <v>2165.86</v>
      </c>
      <c r="J264" s="1">
        <v>15161.02</v>
      </c>
    </row>
    <row r="265" spans="1:10" x14ac:dyDescent="0.3">
      <c r="A265" s="1">
        <v>10264</v>
      </c>
      <c r="B265" s="1">
        <v>1607</v>
      </c>
      <c r="C265" s="2">
        <v>45086</v>
      </c>
      <c r="D265" s="1" t="s">
        <v>10</v>
      </c>
      <c r="E265" s="1" t="s">
        <v>29</v>
      </c>
      <c r="F265" s="1" t="s">
        <v>41</v>
      </c>
      <c r="G265" s="1" t="s">
        <v>32</v>
      </c>
      <c r="H265" s="1">
        <v>4</v>
      </c>
      <c r="I265" s="1">
        <v>1126.3</v>
      </c>
      <c r="J265" s="1">
        <v>3604.16</v>
      </c>
    </row>
    <row r="266" spans="1:10" x14ac:dyDescent="0.3">
      <c r="A266" s="1">
        <v>10265</v>
      </c>
      <c r="B266" s="1">
        <v>1471</v>
      </c>
      <c r="C266" s="2">
        <v>45174</v>
      </c>
      <c r="D266" s="1" t="s">
        <v>31</v>
      </c>
      <c r="E266" s="1" t="s">
        <v>12</v>
      </c>
      <c r="F266" s="1" t="s">
        <v>42</v>
      </c>
      <c r="G266" s="1" t="s">
        <v>14</v>
      </c>
      <c r="H266" s="1">
        <v>9</v>
      </c>
      <c r="I266" s="1">
        <v>1963.16</v>
      </c>
      <c r="J266" s="1">
        <v>14134.75</v>
      </c>
    </row>
    <row r="267" spans="1:10" x14ac:dyDescent="0.3">
      <c r="A267" s="1">
        <v>10266</v>
      </c>
      <c r="B267" s="1">
        <v>1232</v>
      </c>
      <c r="C267" s="2">
        <v>45129</v>
      </c>
      <c r="D267" s="1" t="s">
        <v>26</v>
      </c>
      <c r="E267" s="1" t="s">
        <v>22</v>
      </c>
      <c r="F267" s="1" t="s">
        <v>42</v>
      </c>
      <c r="G267" s="1" t="s">
        <v>20</v>
      </c>
      <c r="H267" s="1">
        <v>8</v>
      </c>
      <c r="I267" s="1">
        <v>2045.09</v>
      </c>
      <c r="J267" s="1">
        <v>14724.65</v>
      </c>
    </row>
    <row r="268" spans="1:10" x14ac:dyDescent="0.3">
      <c r="A268" s="1">
        <v>10267</v>
      </c>
      <c r="B268" s="1">
        <v>1691</v>
      </c>
      <c r="C268" s="2">
        <v>45074</v>
      </c>
      <c r="D268" s="1" t="s">
        <v>26</v>
      </c>
      <c r="E268" s="1" t="s">
        <v>29</v>
      </c>
      <c r="F268" s="1" t="s">
        <v>36</v>
      </c>
      <c r="G268" s="1" t="s">
        <v>32</v>
      </c>
      <c r="H268" s="1">
        <v>1</v>
      </c>
      <c r="I268" s="1">
        <v>900.78</v>
      </c>
      <c r="J268" s="1">
        <v>855.74</v>
      </c>
    </row>
    <row r="269" spans="1:10" x14ac:dyDescent="0.3">
      <c r="A269" s="1">
        <v>10268</v>
      </c>
      <c r="B269" s="1">
        <v>1112</v>
      </c>
      <c r="C269" s="2">
        <v>45069</v>
      </c>
      <c r="D269" s="1" t="s">
        <v>24</v>
      </c>
      <c r="E269" s="1" t="s">
        <v>27</v>
      </c>
      <c r="F269" s="1" t="s">
        <v>25</v>
      </c>
      <c r="G269" s="1" t="s">
        <v>18</v>
      </c>
      <c r="H269" s="1">
        <v>1</v>
      </c>
      <c r="I269" s="1">
        <v>2660.56</v>
      </c>
      <c r="J269" s="1">
        <v>2394.5</v>
      </c>
    </row>
    <row r="270" spans="1:10" x14ac:dyDescent="0.3">
      <c r="A270" s="1">
        <v>10269</v>
      </c>
      <c r="B270" s="1">
        <v>1829</v>
      </c>
      <c r="C270" s="2">
        <v>45125</v>
      </c>
      <c r="D270" s="1" t="s">
        <v>10</v>
      </c>
      <c r="E270" s="1" t="s">
        <v>22</v>
      </c>
      <c r="F270" s="1" t="s">
        <v>35</v>
      </c>
      <c r="G270" s="1" t="s">
        <v>32</v>
      </c>
      <c r="H270" s="1">
        <v>5</v>
      </c>
      <c r="I270" s="1">
        <v>3156.54</v>
      </c>
      <c r="J270" s="1">
        <v>12626.16</v>
      </c>
    </row>
    <row r="271" spans="1:10" x14ac:dyDescent="0.3">
      <c r="A271" s="1">
        <v>10270</v>
      </c>
      <c r="B271" s="1">
        <v>1496</v>
      </c>
      <c r="C271" s="2">
        <v>45080</v>
      </c>
      <c r="D271" s="1" t="s">
        <v>15</v>
      </c>
      <c r="E271" s="1" t="s">
        <v>22</v>
      </c>
      <c r="F271" s="1" t="s">
        <v>46</v>
      </c>
      <c r="G271" s="1" t="s">
        <v>30</v>
      </c>
      <c r="H271" s="1">
        <v>6</v>
      </c>
      <c r="I271" s="1">
        <v>3197.13</v>
      </c>
      <c r="J271" s="1">
        <v>17264.5</v>
      </c>
    </row>
    <row r="272" spans="1:10" x14ac:dyDescent="0.3">
      <c r="A272" s="1">
        <v>10271</v>
      </c>
      <c r="B272" s="1">
        <v>1441</v>
      </c>
      <c r="C272" s="2">
        <v>45068</v>
      </c>
      <c r="D272" s="1" t="s">
        <v>26</v>
      </c>
      <c r="E272" s="1" t="s">
        <v>16</v>
      </c>
      <c r="F272" s="1" t="s">
        <v>47</v>
      </c>
      <c r="G272" s="1" t="s">
        <v>32</v>
      </c>
      <c r="H272" s="1">
        <v>3</v>
      </c>
      <c r="I272" s="1">
        <v>2469.5100000000002</v>
      </c>
      <c r="J272" s="1">
        <v>7408.53</v>
      </c>
    </row>
    <row r="273" spans="1:10" x14ac:dyDescent="0.3">
      <c r="A273" s="1">
        <v>10272</v>
      </c>
      <c r="B273" s="1">
        <v>1563</v>
      </c>
      <c r="C273" s="2">
        <v>45239</v>
      </c>
      <c r="D273" s="1" t="s">
        <v>15</v>
      </c>
      <c r="E273" s="1" t="s">
        <v>27</v>
      </c>
      <c r="F273" s="1" t="s">
        <v>33</v>
      </c>
      <c r="G273" s="1" t="s">
        <v>32</v>
      </c>
      <c r="H273" s="1">
        <v>9</v>
      </c>
      <c r="I273" s="1">
        <v>2119.81</v>
      </c>
      <c r="J273" s="1">
        <v>17170.46</v>
      </c>
    </row>
    <row r="274" spans="1:10" x14ac:dyDescent="0.3">
      <c r="A274" s="1">
        <v>10273</v>
      </c>
      <c r="B274" s="1">
        <v>1267</v>
      </c>
      <c r="C274" s="2">
        <v>45091</v>
      </c>
      <c r="D274" s="1" t="s">
        <v>31</v>
      </c>
      <c r="E274" s="1" t="s">
        <v>12</v>
      </c>
      <c r="F274" s="1" t="s">
        <v>25</v>
      </c>
      <c r="G274" s="1" t="s">
        <v>30</v>
      </c>
      <c r="H274" s="1">
        <v>6</v>
      </c>
      <c r="I274" s="1">
        <v>384.88</v>
      </c>
      <c r="J274" s="1">
        <v>2193.8200000000002</v>
      </c>
    </row>
    <row r="275" spans="1:10" x14ac:dyDescent="0.3">
      <c r="A275" s="1">
        <v>10274</v>
      </c>
      <c r="B275" s="1">
        <v>1509</v>
      </c>
      <c r="C275" s="2">
        <v>45240</v>
      </c>
      <c r="D275" s="1" t="s">
        <v>24</v>
      </c>
      <c r="E275" s="1" t="s">
        <v>29</v>
      </c>
      <c r="F275" s="1" t="s">
        <v>41</v>
      </c>
      <c r="G275" s="1" t="s">
        <v>20</v>
      </c>
      <c r="H275" s="1">
        <v>4</v>
      </c>
      <c r="I275" s="1">
        <v>1258.1500000000001</v>
      </c>
      <c r="J275" s="1">
        <v>5032.6000000000004</v>
      </c>
    </row>
    <row r="276" spans="1:10" x14ac:dyDescent="0.3">
      <c r="A276" s="1">
        <v>10275</v>
      </c>
      <c r="B276" s="1">
        <v>1806</v>
      </c>
      <c r="C276" s="2">
        <v>44947</v>
      </c>
      <c r="D276" s="1" t="s">
        <v>11</v>
      </c>
      <c r="E276" s="1" t="s">
        <v>16</v>
      </c>
      <c r="F276" s="1" t="s">
        <v>45</v>
      </c>
      <c r="G276" s="1" t="s">
        <v>20</v>
      </c>
      <c r="H276" s="1">
        <v>7</v>
      </c>
      <c r="I276" s="1">
        <v>509.1</v>
      </c>
      <c r="J276" s="1">
        <v>3029.14</v>
      </c>
    </row>
    <row r="277" spans="1:10" x14ac:dyDescent="0.3">
      <c r="A277" s="1">
        <v>10276</v>
      </c>
      <c r="B277" s="1">
        <v>1385</v>
      </c>
      <c r="C277" s="2">
        <v>45008</v>
      </c>
      <c r="D277" s="1" t="s">
        <v>15</v>
      </c>
      <c r="E277" s="1" t="s">
        <v>29</v>
      </c>
      <c r="F277" s="1" t="s">
        <v>36</v>
      </c>
      <c r="G277" s="1" t="s">
        <v>32</v>
      </c>
      <c r="H277" s="1">
        <v>8</v>
      </c>
      <c r="I277" s="1">
        <v>3860.72</v>
      </c>
      <c r="J277" s="1">
        <v>24708.61</v>
      </c>
    </row>
    <row r="278" spans="1:10" x14ac:dyDescent="0.3">
      <c r="A278" s="1">
        <v>10277</v>
      </c>
      <c r="B278" s="1">
        <v>1386</v>
      </c>
      <c r="C278" s="2">
        <v>44995</v>
      </c>
      <c r="D278" s="1" t="s">
        <v>26</v>
      </c>
      <c r="E278" s="1" t="s">
        <v>12</v>
      </c>
      <c r="F278" s="1" t="s">
        <v>50</v>
      </c>
      <c r="G278" s="1" t="s">
        <v>30</v>
      </c>
      <c r="H278" s="1">
        <v>9</v>
      </c>
      <c r="I278" s="1">
        <v>670.06</v>
      </c>
      <c r="J278" s="1">
        <v>4824.43</v>
      </c>
    </row>
    <row r="279" spans="1:10" x14ac:dyDescent="0.3">
      <c r="A279" s="1">
        <v>10278</v>
      </c>
      <c r="B279" s="1">
        <v>1112</v>
      </c>
      <c r="C279" s="2">
        <v>45057</v>
      </c>
      <c r="D279" s="1" t="s">
        <v>31</v>
      </c>
      <c r="E279" s="1" t="s">
        <v>12</v>
      </c>
      <c r="F279" s="1" t="s">
        <v>28</v>
      </c>
      <c r="G279" s="1" t="s">
        <v>30</v>
      </c>
      <c r="H279" s="1">
        <v>6</v>
      </c>
      <c r="I279" s="1">
        <v>734.34</v>
      </c>
      <c r="J279" s="1">
        <v>3965.44</v>
      </c>
    </row>
    <row r="280" spans="1:10" x14ac:dyDescent="0.3">
      <c r="A280" s="1">
        <v>10279</v>
      </c>
      <c r="B280" s="1">
        <v>1612</v>
      </c>
      <c r="C280" s="2">
        <v>45013</v>
      </c>
      <c r="D280" s="1" t="s">
        <v>21</v>
      </c>
      <c r="E280" s="1" t="s">
        <v>22</v>
      </c>
      <c r="F280" s="1" t="s">
        <v>41</v>
      </c>
      <c r="G280" s="1" t="s">
        <v>18</v>
      </c>
      <c r="H280" s="1">
        <v>6</v>
      </c>
      <c r="I280" s="1">
        <v>3574.87</v>
      </c>
      <c r="J280" s="1">
        <v>21449.22</v>
      </c>
    </row>
    <row r="281" spans="1:10" x14ac:dyDescent="0.3">
      <c r="A281" s="1">
        <v>10280</v>
      </c>
      <c r="B281" s="1">
        <v>1624</v>
      </c>
      <c r="C281" s="2">
        <v>45144</v>
      </c>
      <c r="D281" s="1" t="s">
        <v>31</v>
      </c>
      <c r="E281" s="1" t="s">
        <v>12</v>
      </c>
      <c r="F281" s="1" t="s">
        <v>49</v>
      </c>
      <c r="G281" s="1" t="s">
        <v>20</v>
      </c>
      <c r="H281" s="1">
        <v>8</v>
      </c>
      <c r="I281" s="1">
        <v>3784.12</v>
      </c>
      <c r="J281" s="1">
        <v>25732.02</v>
      </c>
    </row>
    <row r="282" spans="1:10" x14ac:dyDescent="0.3">
      <c r="A282" s="1">
        <v>10281</v>
      </c>
      <c r="B282" s="1">
        <v>1951</v>
      </c>
      <c r="C282" s="2">
        <v>45231</v>
      </c>
      <c r="D282" s="1" t="s">
        <v>31</v>
      </c>
      <c r="E282" s="1" t="s">
        <v>29</v>
      </c>
      <c r="F282" s="1" t="s">
        <v>50</v>
      </c>
      <c r="G282" s="1" t="s">
        <v>14</v>
      </c>
      <c r="H282" s="1">
        <v>5</v>
      </c>
      <c r="I282" s="1">
        <v>3098.44</v>
      </c>
      <c r="J282" s="1">
        <v>15492.2</v>
      </c>
    </row>
    <row r="283" spans="1:10" x14ac:dyDescent="0.3">
      <c r="A283" s="1">
        <v>10282</v>
      </c>
      <c r="B283" s="1">
        <v>1080</v>
      </c>
      <c r="C283" s="2">
        <v>45271</v>
      </c>
      <c r="D283" s="1" t="s">
        <v>24</v>
      </c>
      <c r="E283" s="1" t="s">
        <v>27</v>
      </c>
      <c r="F283" s="1" t="s">
        <v>48</v>
      </c>
      <c r="G283" s="1" t="s">
        <v>20</v>
      </c>
      <c r="H283" s="1">
        <v>3</v>
      </c>
      <c r="I283" s="1">
        <v>170.81</v>
      </c>
      <c r="J283" s="1">
        <v>409.94</v>
      </c>
    </row>
    <row r="284" spans="1:10" x14ac:dyDescent="0.3">
      <c r="A284" s="1">
        <v>10283</v>
      </c>
      <c r="B284" s="1">
        <v>1698</v>
      </c>
      <c r="C284" s="2">
        <v>45267</v>
      </c>
      <c r="D284" s="1" t="s">
        <v>11</v>
      </c>
      <c r="E284" s="1" t="s">
        <v>27</v>
      </c>
      <c r="F284" s="1" t="s">
        <v>44</v>
      </c>
      <c r="G284" s="1" t="s">
        <v>20</v>
      </c>
      <c r="H284" s="1">
        <v>3</v>
      </c>
      <c r="I284" s="1">
        <v>155.18</v>
      </c>
      <c r="J284" s="1">
        <v>465.54</v>
      </c>
    </row>
    <row r="285" spans="1:10" x14ac:dyDescent="0.3">
      <c r="A285" s="1">
        <v>10284</v>
      </c>
      <c r="B285" s="1">
        <v>1112</v>
      </c>
      <c r="C285" s="2">
        <v>45087</v>
      </c>
      <c r="D285" s="1" t="s">
        <v>21</v>
      </c>
      <c r="E285" s="1" t="s">
        <v>22</v>
      </c>
      <c r="F285" s="1" t="s">
        <v>35</v>
      </c>
      <c r="G285" s="1" t="s">
        <v>18</v>
      </c>
      <c r="H285" s="1">
        <v>6</v>
      </c>
      <c r="I285" s="1">
        <v>1605.69</v>
      </c>
      <c r="J285" s="1">
        <v>8189.02</v>
      </c>
    </row>
    <row r="286" spans="1:10" x14ac:dyDescent="0.3">
      <c r="A286" s="1">
        <v>10285</v>
      </c>
      <c r="B286" s="1">
        <v>1001</v>
      </c>
      <c r="C286" s="2">
        <v>45104</v>
      </c>
      <c r="D286" s="1" t="s">
        <v>10</v>
      </c>
      <c r="E286" s="1" t="s">
        <v>29</v>
      </c>
      <c r="F286" s="1" t="s">
        <v>38</v>
      </c>
      <c r="G286" s="1" t="s">
        <v>14</v>
      </c>
      <c r="H286" s="1">
        <v>2</v>
      </c>
      <c r="I286" s="1">
        <v>702.07</v>
      </c>
      <c r="J286" s="1">
        <v>1263.73</v>
      </c>
    </row>
    <row r="287" spans="1:10" x14ac:dyDescent="0.3">
      <c r="A287" s="1">
        <v>10286</v>
      </c>
      <c r="B287" s="1">
        <v>1641</v>
      </c>
      <c r="C287" s="2">
        <v>45043</v>
      </c>
      <c r="D287" s="1" t="s">
        <v>10</v>
      </c>
      <c r="E287" s="1" t="s">
        <v>29</v>
      </c>
      <c r="F287" s="1" t="s">
        <v>39</v>
      </c>
      <c r="G287" s="1" t="s">
        <v>18</v>
      </c>
      <c r="H287" s="1">
        <v>6</v>
      </c>
      <c r="I287" s="1">
        <v>220.79</v>
      </c>
      <c r="J287" s="1">
        <v>1258.5</v>
      </c>
    </row>
    <row r="288" spans="1:10" x14ac:dyDescent="0.3">
      <c r="A288" s="1">
        <v>10287</v>
      </c>
      <c r="B288" s="1">
        <v>1219</v>
      </c>
      <c r="C288" s="2">
        <v>45122</v>
      </c>
      <c r="D288" s="1" t="s">
        <v>15</v>
      </c>
      <c r="E288" s="1" t="s">
        <v>12</v>
      </c>
      <c r="F288" s="1" t="s">
        <v>48</v>
      </c>
      <c r="G288" s="1" t="s">
        <v>14</v>
      </c>
      <c r="H288" s="1">
        <v>6</v>
      </c>
      <c r="I288" s="1">
        <v>1936.66</v>
      </c>
      <c r="J288" s="1">
        <v>11619.96</v>
      </c>
    </row>
    <row r="289" spans="1:10" x14ac:dyDescent="0.3">
      <c r="A289" s="1">
        <v>10288</v>
      </c>
      <c r="B289" s="1">
        <v>1565</v>
      </c>
      <c r="C289" s="2">
        <v>45253</v>
      </c>
      <c r="D289" s="1" t="s">
        <v>31</v>
      </c>
      <c r="E289" s="1" t="s">
        <v>29</v>
      </c>
      <c r="F289" s="1" t="s">
        <v>23</v>
      </c>
      <c r="G289" s="1" t="s">
        <v>32</v>
      </c>
      <c r="H289" s="1">
        <v>8</v>
      </c>
      <c r="I289" s="1">
        <v>3780.79</v>
      </c>
      <c r="J289" s="1">
        <v>28734</v>
      </c>
    </row>
    <row r="290" spans="1:10" x14ac:dyDescent="0.3">
      <c r="A290" s="1">
        <v>10289</v>
      </c>
      <c r="B290" s="1">
        <v>1854</v>
      </c>
      <c r="C290" s="2">
        <v>45012</v>
      </c>
      <c r="D290" s="1" t="s">
        <v>24</v>
      </c>
      <c r="E290" s="1" t="s">
        <v>16</v>
      </c>
      <c r="F290" s="1" t="s">
        <v>39</v>
      </c>
      <c r="G290" s="1" t="s">
        <v>14</v>
      </c>
      <c r="H290" s="1">
        <v>7</v>
      </c>
      <c r="I290" s="1">
        <v>1396.71</v>
      </c>
      <c r="J290" s="1">
        <v>7821.58</v>
      </c>
    </row>
    <row r="291" spans="1:10" x14ac:dyDescent="0.3">
      <c r="A291" s="1">
        <v>10290</v>
      </c>
      <c r="B291" s="1">
        <v>1996</v>
      </c>
      <c r="C291" s="2">
        <v>45215</v>
      </c>
      <c r="D291" s="1" t="s">
        <v>24</v>
      </c>
      <c r="E291" s="1" t="s">
        <v>12</v>
      </c>
      <c r="F291" s="1" t="s">
        <v>13</v>
      </c>
      <c r="G291" s="1" t="s">
        <v>18</v>
      </c>
      <c r="H291" s="1">
        <v>8</v>
      </c>
      <c r="I291" s="1">
        <v>2695.39</v>
      </c>
      <c r="J291" s="1">
        <v>19406.810000000001</v>
      </c>
    </row>
    <row r="292" spans="1:10" x14ac:dyDescent="0.3">
      <c r="A292" s="1">
        <v>10291</v>
      </c>
      <c r="B292" s="1">
        <v>1735</v>
      </c>
      <c r="C292" s="2">
        <v>45007</v>
      </c>
      <c r="D292" s="1" t="s">
        <v>10</v>
      </c>
      <c r="E292" s="1" t="s">
        <v>16</v>
      </c>
      <c r="F292" s="1" t="s">
        <v>36</v>
      </c>
      <c r="G292" s="1" t="s">
        <v>20</v>
      </c>
      <c r="H292" s="1">
        <v>9</v>
      </c>
      <c r="I292" s="1">
        <v>2661.11</v>
      </c>
      <c r="J292" s="1">
        <v>21554.99</v>
      </c>
    </row>
    <row r="293" spans="1:10" x14ac:dyDescent="0.3">
      <c r="A293" s="1">
        <v>10292</v>
      </c>
      <c r="B293" s="1">
        <v>1224</v>
      </c>
      <c r="C293" s="2">
        <v>45078</v>
      </c>
      <c r="D293" s="1" t="s">
        <v>15</v>
      </c>
      <c r="E293" s="1" t="s">
        <v>22</v>
      </c>
      <c r="F293" s="1" t="s">
        <v>48</v>
      </c>
      <c r="G293" s="1" t="s">
        <v>14</v>
      </c>
      <c r="H293" s="1">
        <v>6</v>
      </c>
      <c r="I293" s="1">
        <v>1116.6600000000001</v>
      </c>
      <c r="J293" s="1">
        <v>6699.96</v>
      </c>
    </row>
    <row r="294" spans="1:10" x14ac:dyDescent="0.3">
      <c r="A294" s="1">
        <v>10293</v>
      </c>
      <c r="B294" s="1">
        <v>1384</v>
      </c>
      <c r="C294" s="2">
        <v>44987</v>
      </c>
      <c r="D294" s="1" t="s">
        <v>15</v>
      </c>
      <c r="E294" s="1" t="s">
        <v>27</v>
      </c>
      <c r="F294" s="1" t="s">
        <v>17</v>
      </c>
      <c r="G294" s="1" t="s">
        <v>14</v>
      </c>
      <c r="H294" s="1">
        <v>3</v>
      </c>
      <c r="I294" s="1">
        <v>2654.14</v>
      </c>
      <c r="J294" s="1">
        <v>7166.18</v>
      </c>
    </row>
    <row r="295" spans="1:10" x14ac:dyDescent="0.3">
      <c r="A295" s="1">
        <v>10294</v>
      </c>
      <c r="B295" s="1">
        <v>1402</v>
      </c>
      <c r="C295" s="2">
        <v>44987</v>
      </c>
      <c r="D295" s="1" t="s">
        <v>15</v>
      </c>
      <c r="E295" s="1" t="s">
        <v>22</v>
      </c>
      <c r="F295" s="1" t="s">
        <v>28</v>
      </c>
      <c r="G295" s="1" t="s">
        <v>30</v>
      </c>
      <c r="H295" s="1">
        <v>3</v>
      </c>
      <c r="I295" s="1">
        <v>967.49</v>
      </c>
      <c r="J295" s="1">
        <v>2902.47</v>
      </c>
    </row>
    <row r="296" spans="1:10" x14ac:dyDescent="0.3">
      <c r="A296" s="1">
        <v>10295</v>
      </c>
      <c r="B296" s="1">
        <v>1637</v>
      </c>
      <c r="C296" s="2">
        <v>45280</v>
      </c>
      <c r="D296" s="1" t="s">
        <v>21</v>
      </c>
      <c r="E296" s="1" t="s">
        <v>27</v>
      </c>
      <c r="F296" s="1" t="s">
        <v>33</v>
      </c>
      <c r="G296" s="1" t="s">
        <v>20</v>
      </c>
      <c r="H296" s="1">
        <v>1</v>
      </c>
      <c r="I296" s="1">
        <v>619.73</v>
      </c>
      <c r="J296" s="1">
        <v>619.73</v>
      </c>
    </row>
    <row r="297" spans="1:10" x14ac:dyDescent="0.3">
      <c r="A297" s="1">
        <v>10296</v>
      </c>
      <c r="B297" s="1">
        <v>1129</v>
      </c>
      <c r="C297" s="2">
        <v>44954</v>
      </c>
      <c r="D297" s="1" t="s">
        <v>11</v>
      </c>
      <c r="E297" s="1" t="s">
        <v>22</v>
      </c>
      <c r="F297" s="1" t="s">
        <v>33</v>
      </c>
      <c r="G297" s="1" t="s">
        <v>32</v>
      </c>
      <c r="H297" s="1">
        <v>5</v>
      </c>
      <c r="I297" s="1">
        <v>2850.33</v>
      </c>
      <c r="J297" s="1">
        <v>13539.07</v>
      </c>
    </row>
    <row r="298" spans="1:10" x14ac:dyDescent="0.3">
      <c r="A298" s="1">
        <v>10297</v>
      </c>
      <c r="B298" s="1">
        <v>1052</v>
      </c>
      <c r="C298" s="2">
        <v>44969</v>
      </c>
      <c r="D298" s="1" t="s">
        <v>21</v>
      </c>
      <c r="E298" s="1" t="s">
        <v>29</v>
      </c>
      <c r="F298" s="1" t="s">
        <v>13</v>
      </c>
      <c r="G298" s="1" t="s">
        <v>18</v>
      </c>
      <c r="H298" s="1">
        <v>4</v>
      </c>
      <c r="I298" s="1">
        <v>586.75</v>
      </c>
      <c r="J298" s="1">
        <v>2112.3000000000002</v>
      </c>
    </row>
    <row r="299" spans="1:10" x14ac:dyDescent="0.3">
      <c r="A299" s="1">
        <v>10298</v>
      </c>
      <c r="B299" s="1">
        <v>1683</v>
      </c>
      <c r="C299" s="2">
        <v>45095</v>
      </c>
      <c r="D299" s="1" t="s">
        <v>26</v>
      </c>
      <c r="E299" s="1" t="s">
        <v>16</v>
      </c>
      <c r="F299" s="1" t="s">
        <v>23</v>
      </c>
      <c r="G299" s="1" t="s">
        <v>32</v>
      </c>
      <c r="H299" s="1">
        <v>9</v>
      </c>
      <c r="I299" s="1">
        <v>3988.1</v>
      </c>
      <c r="J299" s="1">
        <v>35892.9</v>
      </c>
    </row>
    <row r="300" spans="1:10" x14ac:dyDescent="0.3">
      <c r="A300" s="1">
        <v>10299</v>
      </c>
      <c r="B300" s="1">
        <v>1729</v>
      </c>
      <c r="C300" s="2">
        <v>45012</v>
      </c>
      <c r="D300" s="1" t="s">
        <v>26</v>
      </c>
      <c r="E300" s="1" t="s">
        <v>27</v>
      </c>
      <c r="F300" s="1" t="s">
        <v>28</v>
      </c>
      <c r="G300" s="1" t="s">
        <v>20</v>
      </c>
      <c r="H300" s="1">
        <v>9</v>
      </c>
      <c r="I300" s="1">
        <v>856.29</v>
      </c>
      <c r="J300" s="1">
        <v>7321.28</v>
      </c>
    </row>
    <row r="301" spans="1:10" x14ac:dyDescent="0.3">
      <c r="A301" s="1">
        <v>10300</v>
      </c>
      <c r="B301" s="1">
        <v>1671</v>
      </c>
      <c r="C301" s="2">
        <v>45103</v>
      </c>
      <c r="D301" s="1" t="s">
        <v>11</v>
      </c>
      <c r="E301" s="1" t="s">
        <v>12</v>
      </c>
      <c r="F301" s="1" t="s">
        <v>36</v>
      </c>
      <c r="G301" s="1" t="s">
        <v>14</v>
      </c>
      <c r="H301" s="1">
        <v>5</v>
      </c>
      <c r="I301" s="1">
        <v>2437.4499999999998</v>
      </c>
      <c r="J301" s="1">
        <v>10359.16</v>
      </c>
    </row>
    <row r="302" spans="1:10" x14ac:dyDescent="0.3">
      <c r="A302" s="1">
        <v>10301</v>
      </c>
      <c r="B302" s="1">
        <v>1709</v>
      </c>
      <c r="C302" s="2">
        <v>44943</v>
      </c>
      <c r="D302" s="1" t="s">
        <v>10</v>
      </c>
      <c r="E302" s="1" t="s">
        <v>16</v>
      </c>
      <c r="F302" s="1" t="s">
        <v>36</v>
      </c>
      <c r="G302" s="1" t="s">
        <v>14</v>
      </c>
      <c r="H302" s="1">
        <v>4</v>
      </c>
      <c r="I302" s="1">
        <v>1733.79</v>
      </c>
      <c r="J302" s="1">
        <v>6588.4</v>
      </c>
    </row>
    <row r="303" spans="1:10" x14ac:dyDescent="0.3">
      <c r="A303" s="1">
        <v>10302</v>
      </c>
      <c r="B303" s="1">
        <v>1415</v>
      </c>
      <c r="C303" s="2">
        <v>45024</v>
      </c>
      <c r="D303" s="1" t="s">
        <v>11</v>
      </c>
      <c r="E303" s="1" t="s">
        <v>12</v>
      </c>
      <c r="F303" s="1" t="s">
        <v>46</v>
      </c>
      <c r="G303" s="1" t="s">
        <v>20</v>
      </c>
      <c r="H303" s="1">
        <v>7</v>
      </c>
      <c r="I303" s="1">
        <v>636.59</v>
      </c>
      <c r="J303" s="1">
        <v>4233.32</v>
      </c>
    </row>
    <row r="304" spans="1:10" x14ac:dyDescent="0.3">
      <c r="A304" s="1">
        <v>10303</v>
      </c>
      <c r="B304" s="1">
        <v>1246</v>
      </c>
      <c r="C304" s="2">
        <v>45124</v>
      </c>
      <c r="D304" s="1" t="s">
        <v>24</v>
      </c>
      <c r="E304" s="1" t="s">
        <v>16</v>
      </c>
      <c r="F304" s="1" t="s">
        <v>48</v>
      </c>
      <c r="G304" s="1" t="s">
        <v>14</v>
      </c>
      <c r="H304" s="1">
        <v>6</v>
      </c>
      <c r="I304" s="1">
        <v>257.2</v>
      </c>
      <c r="J304" s="1">
        <v>1543.2</v>
      </c>
    </row>
    <row r="305" spans="1:10" x14ac:dyDescent="0.3">
      <c r="A305" s="1">
        <v>10304</v>
      </c>
      <c r="B305" s="1">
        <v>1835</v>
      </c>
      <c r="C305" s="2">
        <v>45024</v>
      </c>
      <c r="D305" s="1" t="s">
        <v>26</v>
      </c>
      <c r="E305" s="1" t="s">
        <v>16</v>
      </c>
      <c r="F305" s="1" t="s">
        <v>42</v>
      </c>
      <c r="G305" s="1" t="s">
        <v>14</v>
      </c>
      <c r="H305" s="1">
        <v>4</v>
      </c>
      <c r="I305" s="1">
        <v>2547.52</v>
      </c>
      <c r="J305" s="1">
        <v>8152.06</v>
      </c>
    </row>
    <row r="306" spans="1:10" x14ac:dyDescent="0.3">
      <c r="A306" s="1">
        <v>10305</v>
      </c>
      <c r="B306" s="1">
        <v>1438</v>
      </c>
      <c r="C306" s="2">
        <v>44991</v>
      </c>
      <c r="D306" s="1" t="s">
        <v>31</v>
      </c>
      <c r="E306" s="1" t="s">
        <v>22</v>
      </c>
      <c r="F306" s="1" t="s">
        <v>33</v>
      </c>
      <c r="G306" s="1" t="s">
        <v>14</v>
      </c>
      <c r="H306" s="1">
        <v>2</v>
      </c>
      <c r="I306" s="1">
        <v>3256.02</v>
      </c>
      <c r="J306" s="1">
        <v>5209.63</v>
      </c>
    </row>
    <row r="307" spans="1:10" x14ac:dyDescent="0.3">
      <c r="A307" s="1">
        <v>10306</v>
      </c>
      <c r="B307" s="1">
        <v>1202</v>
      </c>
      <c r="C307" s="2">
        <v>45256</v>
      </c>
      <c r="D307" s="1" t="s">
        <v>31</v>
      </c>
      <c r="E307" s="1" t="s">
        <v>27</v>
      </c>
      <c r="F307" s="1" t="s">
        <v>43</v>
      </c>
      <c r="G307" s="1" t="s">
        <v>18</v>
      </c>
      <c r="H307" s="1">
        <v>1</v>
      </c>
      <c r="I307" s="1">
        <v>3391.76</v>
      </c>
      <c r="J307" s="1">
        <v>2713.41</v>
      </c>
    </row>
    <row r="308" spans="1:10" x14ac:dyDescent="0.3">
      <c r="A308" s="1">
        <v>10307</v>
      </c>
      <c r="B308" s="1">
        <v>1183</v>
      </c>
      <c r="C308" s="2">
        <v>45267</v>
      </c>
      <c r="D308" s="1" t="s">
        <v>10</v>
      </c>
      <c r="E308" s="1" t="s">
        <v>27</v>
      </c>
      <c r="F308" s="1" t="s">
        <v>39</v>
      </c>
      <c r="G308" s="1" t="s">
        <v>18</v>
      </c>
      <c r="H308" s="1">
        <v>4</v>
      </c>
      <c r="I308" s="1">
        <v>2008.45</v>
      </c>
      <c r="J308" s="1">
        <v>7632.11</v>
      </c>
    </row>
    <row r="309" spans="1:10" x14ac:dyDescent="0.3">
      <c r="A309" s="1">
        <v>10308</v>
      </c>
      <c r="B309" s="1">
        <v>1122</v>
      </c>
      <c r="C309" s="2">
        <v>44931</v>
      </c>
      <c r="D309" s="1" t="s">
        <v>24</v>
      </c>
      <c r="E309" s="1" t="s">
        <v>16</v>
      </c>
      <c r="F309" s="1" t="s">
        <v>36</v>
      </c>
      <c r="G309" s="1" t="s">
        <v>30</v>
      </c>
      <c r="H309" s="1">
        <v>4</v>
      </c>
      <c r="I309" s="1">
        <v>3143.2</v>
      </c>
      <c r="J309" s="1">
        <v>12572.8</v>
      </c>
    </row>
    <row r="310" spans="1:10" x14ac:dyDescent="0.3">
      <c r="A310" s="1">
        <v>10309</v>
      </c>
      <c r="B310" s="1">
        <v>1400</v>
      </c>
      <c r="C310" s="2">
        <v>44928</v>
      </c>
      <c r="D310" s="1" t="s">
        <v>21</v>
      </c>
      <c r="E310" s="1" t="s">
        <v>29</v>
      </c>
      <c r="F310" s="1" t="s">
        <v>35</v>
      </c>
      <c r="G310" s="1" t="s">
        <v>32</v>
      </c>
      <c r="H310" s="1">
        <v>1</v>
      </c>
      <c r="I310" s="1">
        <v>2740.46</v>
      </c>
      <c r="J310" s="1">
        <v>2466.41</v>
      </c>
    </row>
    <row r="311" spans="1:10" x14ac:dyDescent="0.3">
      <c r="A311" s="1">
        <v>10310</v>
      </c>
      <c r="B311" s="1">
        <v>1766</v>
      </c>
      <c r="C311" s="2">
        <v>44948</v>
      </c>
      <c r="D311" s="1" t="s">
        <v>24</v>
      </c>
      <c r="E311" s="1" t="s">
        <v>29</v>
      </c>
      <c r="F311" s="1" t="s">
        <v>35</v>
      </c>
      <c r="G311" s="1" t="s">
        <v>20</v>
      </c>
      <c r="H311" s="1">
        <v>6</v>
      </c>
      <c r="I311" s="1">
        <v>2938.38</v>
      </c>
      <c r="J311" s="1">
        <v>16748.77</v>
      </c>
    </row>
    <row r="312" spans="1:10" x14ac:dyDescent="0.3">
      <c r="A312" s="1">
        <v>10311</v>
      </c>
      <c r="B312" s="1">
        <v>1293</v>
      </c>
      <c r="C312" s="2">
        <v>45038</v>
      </c>
      <c r="D312" s="1" t="s">
        <v>31</v>
      </c>
      <c r="E312" s="1" t="s">
        <v>12</v>
      </c>
      <c r="F312" s="1" t="s">
        <v>28</v>
      </c>
      <c r="G312" s="1" t="s">
        <v>20</v>
      </c>
      <c r="H312" s="1">
        <v>4</v>
      </c>
      <c r="I312" s="1">
        <v>2046.51</v>
      </c>
      <c r="J312" s="1">
        <v>7776.74</v>
      </c>
    </row>
    <row r="313" spans="1:10" x14ac:dyDescent="0.3">
      <c r="A313" s="1">
        <v>10312</v>
      </c>
      <c r="B313" s="1">
        <v>1279</v>
      </c>
      <c r="C313" s="2">
        <v>44983</v>
      </c>
      <c r="D313" s="1" t="s">
        <v>31</v>
      </c>
      <c r="E313" s="1" t="s">
        <v>12</v>
      </c>
      <c r="F313" s="1" t="s">
        <v>38</v>
      </c>
      <c r="G313" s="1" t="s">
        <v>20</v>
      </c>
      <c r="H313" s="1">
        <v>1</v>
      </c>
      <c r="I313" s="1">
        <v>2588.64</v>
      </c>
      <c r="J313" s="1">
        <v>2588.64</v>
      </c>
    </row>
    <row r="314" spans="1:10" x14ac:dyDescent="0.3">
      <c r="A314" s="1">
        <v>10313</v>
      </c>
      <c r="B314" s="1">
        <v>1836</v>
      </c>
      <c r="C314" s="2">
        <v>44992</v>
      </c>
      <c r="D314" s="1" t="s">
        <v>26</v>
      </c>
      <c r="E314" s="1" t="s">
        <v>22</v>
      </c>
      <c r="F314" s="1" t="s">
        <v>43</v>
      </c>
      <c r="G314" s="1" t="s">
        <v>30</v>
      </c>
      <c r="H314" s="1">
        <v>1</v>
      </c>
      <c r="I314" s="1">
        <v>3251.27</v>
      </c>
      <c r="J314" s="1">
        <v>2763.58</v>
      </c>
    </row>
    <row r="315" spans="1:10" x14ac:dyDescent="0.3">
      <c r="A315" s="1">
        <v>10314</v>
      </c>
      <c r="B315" s="1">
        <v>1883</v>
      </c>
      <c r="C315" s="2">
        <v>45256</v>
      </c>
      <c r="D315" s="1" t="s">
        <v>24</v>
      </c>
      <c r="E315" s="1" t="s">
        <v>16</v>
      </c>
      <c r="F315" s="1" t="s">
        <v>50</v>
      </c>
      <c r="G315" s="1" t="s">
        <v>18</v>
      </c>
      <c r="H315" s="1">
        <v>1</v>
      </c>
      <c r="I315" s="1">
        <v>1681.85</v>
      </c>
      <c r="J315" s="1">
        <v>1597.76</v>
      </c>
    </row>
    <row r="316" spans="1:10" x14ac:dyDescent="0.3">
      <c r="A316" s="1">
        <v>10315</v>
      </c>
      <c r="B316" s="1">
        <v>1609</v>
      </c>
      <c r="C316" s="2">
        <v>45024</v>
      </c>
      <c r="D316" s="1" t="s">
        <v>24</v>
      </c>
      <c r="E316" s="1" t="s">
        <v>12</v>
      </c>
      <c r="F316" s="1" t="s">
        <v>34</v>
      </c>
      <c r="G316" s="1" t="s">
        <v>30</v>
      </c>
      <c r="H316" s="1">
        <v>8</v>
      </c>
      <c r="I316" s="1">
        <v>3253.02</v>
      </c>
      <c r="J316" s="1">
        <v>22120.54</v>
      </c>
    </row>
    <row r="317" spans="1:10" x14ac:dyDescent="0.3">
      <c r="A317" s="1">
        <v>10316</v>
      </c>
      <c r="B317" s="1">
        <v>1197</v>
      </c>
      <c r="C317" s="2">
        <v>45070</v>
      </c>
      <c r="D317" s="1" t="s">
        <v>31</v>
      </c>
      <c r="E317" s="1" t="s">
        <v>12</v>
      </c>
      <c r="F317" s="1" t="s">
        <v>39</v>
      </c>
      <c r="G317" s="1" t="s">
        <v>20</v>
      </c>
      <c r="H317" s="1">
        <v>8</v>
      </c>
      <c r="I317" s="1">
        <v>2429.2600000000002</v>
      </c>
      <c r="J317" s="1">
        <v>16518.97</v>
      </c>
    </row>
    <row r="318" spans="1:10" x14ac:dyDescent="0.3">
      <c r="A318" s="1">
        <v>10317</v>
      </c>
      <c r="B318" s="1">
        <v>1981</v>
      </c>
      <c r="C318" s="2">
        <v>45051</v>
      </c>
      <c r="D318" s="1" t="s">
        <v>21</v>
      </c>
      <c r="E318" s="1" t="s">
        <v>16</v>
      </c>
      <c r="F318" s="1" t="s">
        <v>44</v>
      </c>
      <c r="G318" s="1" t="s">
        <v>32</v>
      </c>
      <c r="H318" s="1">
        <v>2</v>
      </c>
      <c r="I318" s="1">
        <v>788.72</v>
      </c>
      <c r="J318" s="1">
        <v>1261.95</v>
      </c>
    </row>
    <row r="319" spans="1:10" x14ac:dyDescent="0.3">
      <c r="A319" s="1">
        <v>10318</v>
      </c>
      <c r="B319" s="1">
        <v>1906</v>
      </c>
      <c r="C319" s="2">
        <v>45093</v>
      </c>
      <c r="D319" s="1" t="s">
        <v>10</v>
      </c>
      <c r="E319" s="1" t="s">
        <v>22</v>
      </c>
      <c r="F319" s="1" t="s">
        <v>49</v>
      </c>
      <c r="G319" s="1" t="s">
        <v>14</v>
      </c>
      <c r="H319" s="1">
        <v>7</v>
      </c>
      <c r="I319" s="1">
        <v>245.03</v>
      </c>
      <c r="J319" s="1">
        <v>1715.21</v>
      </c>
    </row>
    <row r="320" spans="1:10" x14ac:dyDescent="0.3">
      <c r="A320" s="1">
        <v>10319</v>
      </c>
      <c r="B320" s="1">
        <v>1510</v>
      </c>
      <c r="C320" s="2">
        <v>45012</v>
      </c>
      <c r="D320" s="1" t="s">
        <v>15</v>
      </c>
      <c r="E320" s="1" t="s">
        <v>12</v>
      </c>
      <c r="F320" s="1" t="s">
        <v>34</v>
      </c>
      <c r="G320" s="1" t="s">
        <v>18</v>
      </c>
      <c r="H320" s="1">
        <v>8</v>
      </c>
      <c r="I320" s="1">
        <v>1546.6</v>
      </c>
      <c r="J320" s="1">
        <v>10516.88</v>
      </c>
    </row>
    <row r="321" spans="1:10" x14ac:dyDescent="0.3">
      <c r="A321" s="1">
        <v>10320</v>
      </c>
      <c r="B321" s="1">
        <v>1751</v>
      </c>
      <c r="C321" s="2">
        <v>45002</v>
      </c>
      <c r="D321" s="1" t="s">
        <v>10</v>
      </c>
      <c r="E321" s="1" t="s">
        <v>22</v>
      </c>
      <c r="F321" s="1" t="s">
        <v>23</v>
      </c>
      <c r="G321" s="1" t="s">
        <v>18</v>
      </c>
      <c r="H321" s="1">
        <v>8</v>
      </c>
      <c r="I321" s="1">
        <v>2254.7800000000002</v>
      </c>
      <c r="J321" s="1">
        <v>18038.240000000002</v>
      </c>
    </row>
    <row r="322" spans="1:10" x14ac:dyDescent="0.3">
      <c r="A322" s="1">
        <v>10321</v>
      </c>
      <c r="B322" s="1">
        <v>1143</v>
      </c>
      <c r="C322" s="2">
        <v>45270</v>
      </c>
      <c r="D322" s="1" t="s">
        <v>24</v>
      </c>
      <c r="E322" s="1" t="s">
        <v>27</v>
      </c>
      <c r="F322" s="1" t="s">
        <v>41</v>
      </c>
      <c r="G322" s="1" t="s">
        <v>30</v>
      </c>
      <c r="H322" s="1">
        <v>7</v>
      </c>
      <c r="I322" s="1">
        <v>3383.31</v>
      </c>
      <c r="J322" s="1">
        <v>18946.54</v>
      </c>
    </row>
    <row r="323" spans="1:10" x14ac:dyDescent="0.3">
      <c r="A323" s="1">
        <v>10322</v>
      </c>
      <c r="B323" s="1">
        <v>1608</v>
      </c>
      <c r="C323" s="2">
        <v>45220</v>
      </c>
      <c r="D323" s="1" t="s">
        <v>10</v>
      </c>
      <c r="E323" s="1" t="s">
        <v>22</v>
      </c>
      <c r="F323" s="1" t="s">
        <v>42</v>
      </c>
      <c r="G323" s="1" t="s">
        <v>18</v>
      </c>
      <c r="H323" s="1">
        <v>5</v>
      </c>
      <c r="I323" s="1">
        <v>640.82000000000005</v>
      </c>
      <c r="J323" s="1">
        <v>3204.1</v>
      </c>
    </row>
    <row r="324" spans="1:10" x14ac:dyDescent="0.3">
      <c r="A324" s="1">
        <v>10323</v>
      </c>
      <c r="B324" s="1">
        <v>1200</v>
      </c>
      <c r="C324" s="2">
        <v>44985</v>
      </c>
      <c r="D324" s="1" t="s">
        <v>31</v>
      </c>
      <c r="E324" s="1" t="s">
        <v>29</v>
      </c>
      <c r="F324" s="1" t="s">
        <v>33</v>
      </c>
      <c r="G324" s="1" t="s">
        <v>20</v>
      </c>
      <c r="H324" s="1">
        <v>1</v>
      </c>
      <c r="I324" s="1">
        <v>3230.79</v>
      </c>
      <c r="J324" s="1">
        <v>3069.25</v>
      </c>
    </row>
    <row r="325" spans="1:10" x14ac:dyDescent="0.3">
      <c r="A325" s="1">
        <v>10324</v>
      </c>
      <c r="B325" s="1">
        <v>1123</v>
      </c>
      <c r="C325" s="2">
        <v>45064</v>
      </c>
      <c r="D325" s="1" t="s">
        <v>31</v>
      </c>
      <c r="E325" s="1" t="s">
        <v>29</v>
      </c>
      <c r="F325" s="1" t="s">
        <v>39</v>
      </c>
      <c r="G325" s="1" t="s">
        <v>20</v>
      </c>
      <c r="H325" s="1">
        <v>9</v>
      </c>
      <c r="I325" s="1">
        <v>3472.58</v>
      </c>
      <c r="J325" s="1">
        <v>26565.24</v>
      </c>
    </row>
    <row r="326" spans="1:10" x14ac:dyDescent="0.3">
      <c r="A326" s="1">
        <v>10325</v>
      </c>
      <c r="B326" s="1">
        <v>1186</v>
      </c>
      <c r="C326" s="2">
        <v>45025</v>
      </c>
      <c r="D326" s="1" t="s">
        <v>24</v>
      </c>
      <c r="E326" s="1" t="s">
        <v>22</v>
      </c>
      <c r="F326" s="1" t="s">
        <v>45</v>
      </c>
      <c r="G326" s="1" t="s">
        <v>30</v>
      </c>
      <c r="H326" s="1">
        <v>7</v>
      </c>
      <c r="I326" s="1">
        <v>730.15</v>
      </c>
      <c r="J326" s="1">
        <v>5111.05</v>
      </c>
    </row>
    <row r="327" spans="1:10" x14ac:dyDescent="0.3">
      <c r="A327" s="1">
        <v>10326</v>
      </c>
      <c r="B327" s="1">
        <v>1325</v>
      </c>
      <c r="C327" s="2">
        <v>45118</v>
      </c>
      <c r="D327" s="1" t="s">
        <v>24</v>
      </c>
      <c r="E327" s="1" t="s">
        <v>29</v>
      </c>
      <c r="F327" s="1" t="s">
        <v>41</v>
      </c>
      <c r="G327" s="1" t="s">
        <v>20</v>
      </c>
      <c r="H327" s="1">
        <v>2</v>
      </c>
      <c r="I327" s="1">
        <v>3428.64</v>
      </c>
      <c r="J327" s="1">
        <v>6171.55</v>
      </c>
    </row>
    <row r="328" spans="1:10" x14ac:dyDescent="0.3">
      <c r="A328" s="1">
        <v>10327</v>
      </c>
      <c r="B328" s="1">
        <v>1463</v>
      </c>
      <c r="C328" s="2">
        <v>45169</v>
      </c>
      <c r="D328" s="1" t="s">
        <v>15</v>
      </c>
      <c r="E328" s="1" t="s">
        <v>27</v>
      </c>
      <c r="F328" s="1" t="s">
        <v>41</v>
      </c>
      <c r="G328" s="1" t="s">
        <v>32</v>
      </c>
      <c r="H328" s="1">
        <v>6</v>
      </c>
      <c r="I328" s="1">
        <v>3967.1</v>
      </c>
      <c r="J328" s="1">
        <v>23802.6</v>
      </c>
    </row>
    <row r="329" spans="1:10" x14ac:dyDescent="0.3">
      <c r="A329" s="1">
        <v>10328</v>
      </c>
      <c r="B329" s="1">
        <v>1348</v>
      </c>
      <c r="C329" s="2">
        <v>45245</v>
      </c>
      <c r="D329" s="1" t="s">
        <v>15</v>
      </c>
      <c r="E329" s="1" t="s">
        <v>16</v>
      </c>
      <c r="F329" s="1" t="s">
        <v>36</v>
      </c>
      <c r="G329" s="1" t="s">
        <v>30</v>
      </c>
      <c r="H329" s="1">
        <v>2</v>
      </c>
      <c r="I329" s="1">
        <v>2948.33</v>
      </c>
      <c r="J329" s="1">
        <v>5012.16</v>
      </c>
    </row>
    <row r="330" spans="1:10" x14ac:dyDescent="0.3">
      <c r="A330" s="1">
        <v>10329</v>
      </c>
      <c r="B330" s="1">
        <v>1770</v>
      </c>
      <c r="C330" s="2">
        <v>44975</v>
      </c>
      <c r="D330" s="1" t="s">
        <v>26</v>
      </c>
      <c r="E330" s="1" t="s">
        <v>29</v>
      </c>
      <c r="F330" s="1" t="s">
        <v>17</v>
      </c>
      <c r="G330" s="1" t="s">
        <v>32</v>
      </c>
      <c r="H330" s="1">
        <v>1</v>
      </c>
      <c r="I330" s="1">
        <v>3171.36</v>
      </c>
      <c r="J330" s="1">
        <v>2537.09</v>
      </c>
    </row>
    <row r="331" spans="1:10" x14ac:dyDescent="0.3">
      <c r="A331" s="1">
        <v>10330</v>
      </c>
      <c r="B331" s="1">
        <v>1659</v>
      </c>
      <c r="C331" s="2">
        <v>44958</v>
      </c>
      <c r="D331" s="1" t="s">
        <v>24</v>
      </c>
      <c r="E331" s="1" t="s">
        <v>29</v>
      </c>
      <c r="F331" s="1" t="s">
        <v>45</v>
      </c>
      <c r="G331" s="1" t="s">
        <v>14</v>
      </c>
      <c r="H331" s="1">
        <v>7</v>
      </c>
      <c r="I331" s="1">
        <v>3978.5</v>
      </c>
      <c r="J331" s="1">
        <v>22279.599999999999</v>
      </c>
    </row>
    <row r="332" spans="1:10" x14ac:dyDescent="0.3">
      <c r="A332" s="1">
        <v>10331</v>
      </c>
      <c r="B332" s="1">
        <v>1763</v>
      </c>
      <c r="C332" s="2">
        <v>45203</v>
      </c>
      <c r="D332" s="1" t="s">
        <v>21</v>
      </c>
      <c r="E332" s="1" t="s">
        <v>22</v>
      </c>
      <c r="F332" s="1" t="s">
        <v>37</v>
      </c>
      <c r="G332" s="1" t="s">
        <v>32</v>
      </c>
      <c r="H332" s="1">
        <v>2</v>
      </c>
      <c r="I332" s="1">
        <v>2481.1</v>
      </c>
      <c r="J332" s="1">
        <v>4217.87</v>
      </c>
    </row>
    <row r="333" spans="1:10" x14ac:dyDescent="0.3">
      <c r="A333" s="1">
        <v>10332</v>
      </c>
      <c r="B333" s="1">
        <v>1954</v>
      </c>
      <c r="C333" s="2">
        <v>44946</v>
      </c>
      <c r="D333" s="1" t="s">
        <v>10</v>
      </c>
      <c r="E333" s="1" t="s">
        <v>27</v>
      </c>
      <c r="F333" s="1" t="s">
        <v>48</v>
      </c>
      <c r="G333" s="1" t="s">
        <v>14</v>
      </c>
      <c r="H333" s="1">
        <v>2</v>
      </c>
      <c r="I333" s="1">
        <v>1335.36</v>
      </c>
      <c r="J333" s="1">
        <v>2537.1799999999998</v>
      </c>
    </row>
    <row r="334" spans="1:10" x14ac:dyDescent="0.3">
      <c r="A334" s="1">
        <v>10333</v>
      </c>
      <c r="B334" s="1">
        <v>1931</v>
      </c>
      <c r="C334" s="2">
        <v>45080</v>
      </c>
      <c r="D334" s="1" t="s">
        <v>24</v>
      </c>
      <c r="E334" s="1" t="s">
        <v>16</v>
      </c>
      <c r="F334" s="1" t="s">
        <v>41</v>
      </c>
      <c r="G334" s="1" t="s">
        <v>14</v>
      </c>
      <c r="H334" s="1">
        <v>5</v>
      </c>
      <c r="I334" s="1">
        <v>3374.49</v>
      </c>
      <c r="J334" s="1">
        <v>16028.83</v>
      </c>
    </row>
    <row r="335" spans="1:10" x14ac:dyDescent="0.3">
      <c r="A335" s="1">
        <v>10334</v>
      </c>
      <c r="B335" s="1">
        <v>1402</v>
      </c>
      <c r="C335" s="2">
        <v>44994</v>
      </c>
      <c r="D335" s="1" t="s">
        <v>11</v>
      </c>
      <c r="E335" s="1" t="s">
        <v>22</v>
      </c>
      <c r="F335" s="1" t="s">
        <v>40</v>
      </c>
      <c r="G335" s="1" t="s">
        <v>32</v>
      </c>
      <c r="H335" s="1">
        <v>5</v>
      </c>
      <c r="I335" s="1">
        <v>2515.77</v>
      </c>
      <c r="J335" s="1">
        <v>10063.08</v>
      </c>
    </row>
    <row r="336" spans="1:10" x14ac:dyDescent="0.3">
      <c r="A336" s="1">
        <v>10335</v>
      </c>
      <c r="B336" s="1">
        <v>1345</v>
      </c>
      <c r="C336" s="2">
        <v>45140</v>
      </c>
      <c r="D336" s="1" t="s">
        <v>26</v>
      </c>
      <c r="E336" s="1" t="s">
        <v>22</v>
      </c>
      <c r="F336" s="1" t="s">
        <v>28</v>
      </c>
      <c r="G336" s="1" t="s">
        <v>30</v>
      </c>
      <c r="H336" s="1">
        <v>7</v>
      </c>
      <c r="I336" s="1">
        <v>2387.6</v>
      </c>
      <c r="J336" s="1">
        <v>13370.56</v>
      </c>
    </row>
    <row r="337" spans="1:10" x14ac:dyDescent="0.3">
      <c r="A337" s="1">
        <v>10336</v>
      </c>
      <c r="B337" s="1">
        <v>1962</v>
      </c>
      <c r="C337" s="2">
        <v>45069</v>
      </c>
      <c r="D337" s="1" t="s">
        <v>11</v>
      </c>
      <c r="E337" s="1" t="s">
        <v>27</v>
      </c>
      <c r="F337" s="1" t="s">
        <v>47</v>
      </c>
      <c r="G337" s="1" t="s">
        <v>20</v>
      </c>
      <c r="H337" s="1">
        <v>1</v>
      </c>
      <c r="I337" s="1">
        <v>1126.5</v>
      </c>
      <c r="J337" s="1">
        <v>957.52</v>
      </c>
    </row>
    <row r="338" spans="1:10" x14ac:dyDescent="0.3">
      <c r="A338" s="1">
        <v>10337</v>
      </c>
      <c r="B338" s="1">
        <v>1510</v>
      </c>
      <c r="C338" s="2">
        <v>45158</v>
      </c>
      <c r="D338" s="1" t="s">
        <v>31</v>
      </c>
      <c r="E338" s="1" t="s">
        <v>16</v>
      </c>
      <c r="F338" s="1" t="s">
        <v>43</v>
      </c>
      <c r="G338" s="1" t="s">
        <v>20</v>
      </c>
      <c r="H338" s="1">
        <v>8</v>
      </c>
      <c r="I338" s="1">
        <v>3061.89</v>
      </c>
      <c r="J338" s="1">
        <v>23270.36</v>
      </c>
    </row>
    <row r="339" spans="1:10" x14ac:dyDescent="0.3">
      <c r="A339" s="1">
        <v>10338</v>
      </c>
      <c r="B339" s="1">
        <v>1146</v>
      </c>
      <c r="C339" s="2">
        <v>45139</v>
      </c>
      <c r="D339" s="1" t="s">
        <v>15</v>
      </c>
      <c r="E339" s="1" t="s">
        <v>27</v>
      </c>
      <c r="F339" s="1" t="s">
        <v>34</v>
      </c>
      <c r="G339" s="1" t="s">
        <v>14</v>
      </c>
      <c r="H339" s="1">
        <v>3</v>
      </c>
      <c r="I339" s="1">
        <v>464.42</v>
      </c>
      <c r="J339" s="1">
        <v>1114.6099999999999</v>
      </c>
    </row>
    <row r="340" spans="1:10" x14ac:dyDescent="0.3">
      <c r="A340" s="1">
        <v>10339</v>
      </c>
      <c r="B340" s="1">
        <v>1147</v>
      </c>
      <c r="C340" s="2">
        <v>45005</v>
      </c>
      <c r="D340" s="1" t="s">
        <v>10</v>
      </c>
      <c r="E340" s="1" t="s">
        <v>16</v>
      </c>
      <c r="F340" s="1" t="s">
        <v>19</v>
      </c>
      <c r="G340" s="1" t="s">
        <v>14</v>
      </c>
      <c r="H340" s="1">
        <v>4</v>
      </c>
      <c r="I340" s="1">
        <v>3708.51</v>
      </c>
      <c r="J340" s="1">
        <v>14092.34</v>
      </c>
    </row>
    <row r="341" spans="1:10" x14ac:dyDescent="0.3">
      <c r="A341" s="1">
        <v>10340</v>
      </c>
      <c r="B341" s="1">
        <v>1863</v>
      </c>
      <c r="C341" s="2">
        <v>45140</v>
      </c>
      <c r="D341" s="1" t="s">
        <v>24</v>
      </c>
      <c r="E341" s="1" t="s">
        <v>27</v>
      </c>
      <c r="F341" s="1" t="s">
        <v>34</v>
      </c>
      <c r="G341" s="1" t="s">
        <v>30</v>
      </c>
      <c r="H341" s="1">
        <v>9</v>
      </c>
      <c r="I341" s="1">
        <v>1404.42</v>
      </c>
      <c r="J341" s="1">
        <v>10111.82</v>
      </c>
    </row>
    <row r="342" spans="1:10" x14ac:dyDescent="0.3">
      <c r="A342" s="1">
        <v>10341</v>
      </c>
      <c r="B342" s="1">
        <v>1710</v>
      </c>
      <c r="C342" s="2">
        <v>45042</v>
      </c>
      <c r="D342" s="1" t="s">
        <v>11</v>
      </c>
      <c r="E342" s="1" t="s">
        <v>22</v>
      </c>
      <c r="F342" s="1" t="s">
        <v>35</v>
      </c>
      <c r="G342" s="1" t="s">
        <v>18</v>
      </c>
      <c r="H342" s="1">
        <v>4</v>
      </c>
      <c r="I342" s="1">
        <v>641.92999999999995</v>
      </c>
      <c r="J342" s="1">
        <v>2567.7199999999998</v>
      </c>
    </row>
    <row r="343" spans="1:10" x14ac:dyDescent="0.3">
      <c r="A343" s="1">
        <v>10342</v>
      </c>
      <c r="B343" s="1">
        <v>1819</v>
      </c>
      <c r="C343" s="2">
        <v>45018</v>
      </c>
      <c r="D343" s="1" t="s">
        <v>10</v>
      </c>
      <c r="E343" s="1" t="s">
        <v>22</v>
      </c>
      <c r="F343" s="1" t="s">
        <v>17</v>
      </c>
      <c r="G343" s="1" t="s">
        <v>32</v>
      </c>
      <c r="H343" s="1">
        <v>5</v>
      </c>
      <c r="I343" s="1">
        <v>1853.11</v>
      </c>
      <c r="J343" s="1">
        <v>8338.99</v>
      </c>
    </row>
    <row r="344" spans="1:10" x14ac:dyDescent="0.3">
      <c r="A344" s="1">
        <v>10343</v>
      </c>
      <c r="B344" s="1">
        <v>1488</v>
      </c>
      <c r="C344" s="2">
        <v>45196</v>
      </c>
      <c r="D344" s="1" t="s">
        <v>31</v>
      </c>
      <c r="E344" s="1" t="s">
        <v>12</v>
      </c>
      <c r="F344" s="1" t="s">
        <v>35</v>
      </c>
      <c r="G344" s="1" t="s">
        <v>14</v>
      </c>
      <c r="H344" s="1">
        <v>7</v>
      </c>
      <c r="I344" s="1">
        <v>313.51</v>
      </c>
      <c r="J344" s="1">
        <v>2194.5700000000002</v>
      </c>
    </row>
    <row r="345" spans="1:10" x14ac:dyDescent="0.3">
      <c r="A345" s="1">
        <v>10344</v>
      </c>
      <c r="B345" s="1">
        <v>1928</v>
      </c>
      <c r="C345" s="2">
        <v>45094</v>
      </c>
      <c r="D345" s="1" t="s">
        <v>15</v>
      </c>
      <c r="E345" s="1" t="s">
        <v>29</v>
      </c>
      <c r="F345" s="1" t="s">
        <v>38</v>
      </c>
      <c r="G345" s="1" t="s">
        <v>20</v>
      </c>
      <c r="H345" s="1">
        <v>4</v>
      </c>
      <c r="I345" s="1">
        <v>2785.81</v>
      </c>
      <c r="J345" s="1">
        <v>8914.59</v>
      </c>
    </row>
    <row r="346" spans="1:10" x14ac:dyDescent="0.3">
      <c r="A346" s="1">
        <v>10345</v>
      </c>
      <c r="B346" s="1">
        <v>1935</v>
      </c>
      <c r="C346" s="2">
        <v>44984</v>
      </c>
      <c r="D346" s="1" t="s">
        <v>21</v>
      </c>
      <c r="E346" s="1" t="s">
        <v>27</v>
      </c>
      <c r="F346" s="1" t="s">
        <v>23</v>
      </c>
      <c r="G346" s="1" t="s">
        <v>30</v>
      </c>
      <c r="H346" s="1">
        <v>1</v>
      </c>
      <c r="I346" s="1">
        <v>3625.42</v>
      </c>
      <c r="J346" s="1">
        <v>3262.88</v>
      </c>
    </row>
    <row r="347" spans="1:10" x14ac:dyDescent="0.3">
      <c r="A347" s="1">
        <v>10346</v>
      </c>
      <c r="B347" s="1">
        <v>1639</v>
      </c>
      <c r="C347" s="2">
        <v>45210</v>
      </c>
      <c r="D347" s="1" t="s">
        <v>26</v>
      </c>
      <c r="E347" s="1" t="s">
        <v>12</v>
      </c>
      <c r="F347" s="1" t="s">
        <v>23</v>
      </c>
      <c r="G347" s="1" t="s">
        <v>32</v>
      </c>
      <c r="H347" s="1">
        <v>9</v>
      </c>
      <c r="I347" s="1">
        <v>3373.46</v>
      </c>
      <c r="J347" s="1">
        <v>27325.03</v>
      </c>
    </row>
    <row r="348" spans="1:10" x14ac:dyDescent="0.3">
      <c r="A348" s="1">
        <v>10347</v>
      </c>
      <c r="B348" s="1">
        <v>1550</v>
      </c>
      <c r="C348" s="2">
        <v>44952</v>
      </c>
      <c r="D348" s="1" t="s">
        <v>10</v>
      </c>
      <c r="E348" s="1" t="s">
        <v>29</v>
      </c>
      <c r="F348" s="1" t="s">
        <v>13</v>
      </c>
      <c r="G348" s="1" t="s">
        <v>30</v>
      </c>
      <c r="H348" s="1">
        <v>4</v>
      </c>
      <c r="I348" s="1">
        <v>640.37</v>
      </c>
      <c r="J348" s="1">
        <v>2049.1799999999998</v>
      </c>
    </row>
    <row r="349" spans="1:10" x14ac:dyDescent="0.3">
      <c r="A349" s="1">
        <v>10348</v>
      </c>
      <c r="B349" s="1">
        <v>1337</v>
      </c>
      <c r="C349" s="2">
        <v>44992</v>
      </c>
      <c r="D349" s="1" t="s">
        <v>10</v>
      </c>
      <c r="E349" s="1" t="s">
        <v>27</v>
      </c>
      <c r="F349" s="1" t="s">
        <v>49</v>
      </c>
      <c r="G349" s="1" t="s">
        <v>32</v>
      </c>
      <c r="H349" s="1">
        <v>9</v>
      </c>
      <c r="I349" s="1">
        <v>636.14</v>
      </c>
      <c r="J349" s="1">
        <v>4580.21</v>
      </c>
    </row>
    <row r="350" spans="1:10" x14ac:dyDescent="0.3">
      <c r="A350" s="1">
        <v>10349</v>
      </c>
      <c r="B350" s="1">
        <v>1871</v>
      </c>
      <c r="C350" s="2">
        <v>45174</v>
      </c>
      <c r="D350" s="1" t="s">
        <v>21</v>
      </c>
      <c r="E350" s="1" t="s">
        <v>16</v>
      </c>
      <c r="F350" s="1" t="s">
        <v>37</v>
      </c>
      <c r="G350" s="1" t="s">
        <v>32</v>
      </c>
      <c r="H350" s="1">
        <v>6</v>
      </c>
      <c r="I350" s="1">
        <v>3281.72</v>
      </c>
      <c r="J350" s="1">
        <v>18705.8</v>
      </c>
    </row>
    <row r="351" spans="1:10" x14ac:dyDescent="0.3">
      <c r="A351" s="1">
        <v>10350</v>
      </c>
      <c r="B351" s="1">
        <v>1640</v>
      </c>
      <c r="C351" s="2">
        <v>45180</v>
      </c>
      <c r="D351" s="1" t="s">
        <v>10</v>
      </c>
      <c r="E351" s="1" t="s">
        <v>29</v>
      </c>
      <c r="F351" s="1" t="s">
        <v>43</v>
      </c>
      <c r="G351" s="1" t="s">
        <v>14</v>
      </c>
      <c r="H351" s="1">
        <v>1</v>
      </c>
      <c r="I351" s="1">
        <v>3708.38</v>
      </c>
      <c r="J351" s="1">
        <v>2966.7</v>
      </c>
    </row>
    <row r="352" spans="1:10" x14ac:dyDescent="0.3">
      <c r="A352" s="1">
        <v>10351</v>
      </c>
      <c r="B352" s="1">
        <v>1778</v>
      </c>
      <c r="C352" s="2">
        <v>44970</v>
      </c>
      <c r="D352" s="1" t="s">
        <v>31</v>
      </c>
      <c r="E352" s="1" t="s">
        <v>22</v>
      </c>
      <c r="F352" s="1" t="s">
        <v>19</v>
      </c>
      <c r="G352" s="1" t="s">
        <v>30</v>
      </c>
      <c r="H352" s="1">
        <v>3</v>
      </c>
      <c r="I352" s="1">
        <v>1923.58</v>
      </c>
      <c r="J352" s="1">
        <v>4905.13</v>
      </c>
    </row>
    <row r="353" spans="1:10" x14ac:dyDescent="0.3">
      <c r="A353" s="1">
        <v>10352</v>
      </c>
      <c r="B353" s="1">
        <v>1987</v>
      </c>
      <c r="C353" s="2">
        <v>45023</v>
      </c>
      <c r="D353" s="1" t="s">
        <v>31</v>
      </c>
      <c r="E353" s="1" t="s">
        <v>12</v>
      </c>
      <c r="F353" s="1" t="s">
        <v>23</v>
      </c>
      <c r="G353" s="1" t="s">
        <v>30</v>
      </c>
      <c r="H353" s="1">
        <v>2</v>
      </c>
      <c r="I353" s="1">
        <v>2071.04</v>
      </c>
      <c r="J353" s="1">
        <v>3313.66</v>
      </c>
    </row>
    <row r="354" spans="1:10" x14ac:dyDescent="0.3">
      <c r="A354" s="1">
        <v>10353</v>
      </c>
      <c r="B354" s="1">
        <v>1952</v>
      </c>
      <c r="C354" s="2">
        <v>44968</v>
      </c>
      <c r="D354" s="1" t="s">
        <v>21</v>
      </c>
      <c r="E354" s="1" t="s">
        <v>29</v>
      </c>
      <c r="F354" s="1" t="s">
        <v>48</v>
      </c>
      <c r="G354" s="1" t="s">
        <v>20</v>
      </c>
      <c r="H354" s="1">
        <v>9</v>
      </c>
      <c r="I354" s="1">
        <v>1375.31</v>
      </c>
      <c r="J354" s="1">
        <v>10521.12</v>
      </c>
    </row>
    <row r="355" spans="1:10" x14ac:dyDescent="0.3">
      <c r="A355" s="1">
        <v>10354</v>
      </c>
      <c r="B355" s="1">
        <v>1472</v>
      </c>
      <c r="C355" s="2">
        <v>45153</v>
      </c>
      <c r="D355" s="1" t="s">
        <v>26</v>
      </c>
      <c r="E355" s="1" t="s">
        <v>29</v>
      </c>
      <c r="F355" s="1" t="s">
        <v>39</v>
      </c>
      <c r="G355" s="1" t="s">
        <v>20</v>
      </c>
      <c r="H355" s="1">
        <v>1</v>
      </c>
      <c r="I355" s="1">
        <v>3592.92</v>
      </c>
      <c r="J355" s="1">
        <v>2874.34</v>
      </c>
    </row>
    <row r="356" spans="1:10" x14ac:dyDescent="0.3">
      <c r="A356" s="1">
        <v>10355</v>
      </c>
      <c r="B356" s="1">
        <v>1945</v>
      </c>
      <c r="C356" s="2">
        <v>45188</v>
      </c>
      <c r="D356" s="1" t="s">
        <v>24</v>
      </c>
      <c r="E356" s="1" t="s">
        <v>22</v>
      </c>
      <c r="F356" s="1" t="s">
        <v>36</v>
      </c>
      <c r="G356" s="1" t="s">
        <v>14</v>
      </c>
      <c r="H356" s="1">
        <v>9</v>
      </c>
      <c r="I356" s="1">
        <v>2632.88</v>
      </c>
      <c r="J356" s="1">
        <v>22511.119999999999</v>
      </c>
    </row>
    <row r="357" spans="1:10" x14ac:dyDescent="0.3">
      <c r="A357" s="1">
        <v>10356</v>
      </c>
      <c r="B357" s="1">
        <v>1150</v>
      </c>
      <c r="C357" s="2">
        <v>45093</v>
      </c>
      <c r="D357" s="1" t="s">
        <v>11</v>
      </c>
      <c r="E357" s="1" t="s">
        <v>27</v>
      </c>
      <c r="F357" s="1" t="s">
        <v>33</v>
      </c>
      <c r="G357" s="1" t="s">
        <v>14</v>
      </c>
      <c r="H357" s="1">
        <v>9</v>
      </c>
      <c r="I357" s="1">
        <v>1259.77</v>
      </c>
      <c r="J357" s="1">
        <v>9637.24</v>
      </c>
    </row>
    <row r="358" spans="1:10" x14ac:dyDescent="0.3">
      <c r="A358" s="1">
        <v>10357</v>
      </c>
      <c r="B358" s="1">
        <v>1414</v>
      </c>
      <c r="C358" s="2">
        <v>45205</v>
      </c>
      <c r="D358" s="1" t="s">
        <v>24</v>
      </c>
      <c r="E358" s="1" t="s">
        <v>16</v>
      </c>
      <c r="F358" s="1" t="s">
        <v>39</v>
      </c>
      <c r="G358" s="1" t="s">
        <v>18</v>
      </c>
      <c r="H358" s="1">
        <v>8</v>
      </c>
      <c r="I358" s="1">
        <v>1300.31</v>
      </c>
      <c r="J358" s="1">
        <v>10402.48</v>
      </c>
    </row>
    <row r="359" spans="1:10" x14ac:dyDescent="0.3">
      <c r="A359" s="1">
        <v>10358</v>
      </c>
      <c r="B359" s="1">
        <v>1989</v>
      </c>
      <c r="C359" s="2">
        <v>45015</v>
      </c>
      <c r="D359" s="1" t="s">
        <v>10</v>
      </c>
      <c r="E359" s="1" t="s">
        <v>22</v>
      </c>
      <c r="F359" s="1" t="s">
        <v>39</v>
      </c>
      <c r="G359" s="1" t="s">
        <v>20</v>
      </c>
      <c r="H359" s="1">
        <v>8</v>
      </c>
      <c r="I359" s="1">
        <v>3581.12</v>
      </c>
      <c r="J359" s="1">
        <v>24351.62</v>
      </c>
    </row>
    <row r="360" spans="1:10" x14ac:dyDescent="0.3">
      <c r="A360" s="1">
        <v>10359</v>
      </c>
      <c r="B360" s="1">
        <v>1297</v>
      </c>
      <c r="C360" s="2">
        <v>45104</v>
      </c>
      <c r="D360" s="1" t="s">
        <v>11</v>
      </c>
      <c r="E360" s="1" t="s">
        <v>16</v>
      </c>
      <c r="F360" s="1" t="s">
        <v>33</v>
      </c>
      <c r="G360" s="1" t="s">
        <v>32</v>
      </c>
      <c r="H360" s="1">
        <v>1</v>
      </c>
      <c r="I360" s="1">
        <v>202.49</v>
      </c>
      <c r="J360" s="1">
        <v>192.37</v>
      </c>
    </row>
    <row r="361" spans="1:10" x14ac:dyDescent="0.3">
      <c r="A361" s="1">
        <v>10360</v>
      </c>
      <c r="B361" s="1">
        <v>1610</v>
      </c>
      <c r="C361" s="2">
        <v>45123</v>
      </c>
      <c r="D361" s="1" t="s">
        <v>21</v>
      </c>
      <c r="E361" s="1" t="s">
        <v>27</v>
      </c>
      <c r="F361" s="1" t="s">
        <v>19</v>
      </c>
      <c r="G361" s="1" t="s">
        <v>30</v>
      </c>
      <c r="H361" s="1">
        <v>8</v>
      </c>
      <c r="I361" s="1">
        <v>1392.5</v>
      </c>
      <c r="J361" s="1">
        <v>9469</v>
      </c>
    </row>
    <row r="362" spans="1:10" x14ac:dyDescent="0.3">
      <c r="A362" s="1">
        <v>10361</v>
      </c>
      <c r="B362" s="1">
        <v>1262</v>
      </c>
      <c r="C362" s="2">
        <v>45233</v>
      </c>
      <c r="D362" s="1" t="s">
        <v>21</v>
      </c>
      <c r="E362" s="1" t="s">
        <v>29</v>
      </c>
      <c r="F362" s="1" t="s">
        <v>40</v>
      </c>
      <c r="G362" s="1" t="s">
        <v>14</v>
      </c>
      <c r="H362" s="1">
        <v>3</v>
      </c>
      <c r="I362" s="1">
        <v>2284.27</v>
      </c>
      <c r="J362" s="1">
        <v>5482.25</v>
      </c>
    </row>
    <row r="363" spans="1:10" x14ac:dyDescent="0.3">
      <c r="A363" s="1">
        <v>10362</v>
      </c>
      <c r="B363" s="1">
        <v>1763</v>
      </c>
      <c r="C363" s="2">
        <v>45193</v>
      </c>
      <c r="D363" s="1" t="s">
        <v>26</v>
      </c>
      <c r="E363" s="1" t="s">
        <v>16</v>
      </c>
      <c r="F363" s="1" t="s">
        <v>33</v>
      </c>
      <c r="G363" s="1" t="s">
        <v>30</v>
      </c>
      <c r="H363" s="1">
        <v>7</v>
      </c>
      <c r="I363" s="1">
        <v>720.64</v>
      </c>
      <c r="J363" s="1">
        <v>4035.58</v>
      </c>
    </row>
    <row r="364" spans="1:10" x14ac:dyDescent="0.3">
      <c r="A364" s="1">
        <v>10363</v>
      </c>
      <c r="B364" s="1">
        <v>1143</v>
      </c>
      <c r="C364" s="2">
        <v>45194</v>
      </c>
      <c r="D364" s="1" t="s">
        <v>11</v>
      </c>
      <c r="E364" s="1" t="s">
        <v>12</v>
      </c>
      <c r="F364" s="1" t="s">
        <v>43</v>
      </c>
      <c r="G364" s="1" t="s">
        <v>30</v>
      </c>
      <c r="H364" s="1">
        <v>1</v>
      </c>
      <c r="I364" s="1">
        <v>504.58</v>
      </c>
      <c r="J364" s="1">
        <v>479.35</v>
      </c>
    </row>
    <row r="365" spans="1:10" x14ac:dyDescent="0.3">
      <c r="A365" s="1">
        <v>10364</v>
      </c>
      <c r="B365" s="1">
        <v>1345</v>
      </c>
      <c r="C365" s="2">
        <v>45000</v>
      </c>
      <c r="D365" s="1" t="s">
        <v>31</v>
      </c>
      <c r="E365" s="1" t="s">
        <v>12</v>
      </c>
      <c r="F365" s="1" t="s">
        <v>48</v>
      </c>
      <c r="G365" s="1" t="s">
        <v>18</v>
      </c>
      <c r="H365" s="1">
        <v>1</v>
      </c>
      <c r="I365" s="1">
        <v>3288.81</v>
      </c>
      <c r="J365" s="1">
        <v>2959.93</v>
      </c>
    </row>
    <row r="366" spans="1:10" x14ac:dyDescent="0.3">
      <c r="A366" s="1">
        <v>10365</v>
      </c>
      <c r="B366" s="1">
        <v>1623</v>
      </c>
      <c r="C366" s="2">
        <v>44934</v>
      </c>
      <c r="D366" s="1" t="s">
        <v>11</v>
      </c>
      <c r="E366" s="1" t="s">
        <v>22</v>
      </c>
      <c r="F366" s="1" t="s">
        <v>36</v>
      </c>
      <c r="G366" s="1" t="s">
        <v>20</v>
      </c>
      <c r="H366" s="1">
        <v>5</v>
      </c>
      <c r="I366" s="1">
        <v>3593.46</v>
      </c>
      <c r="J366" s="1">
        <v>14373.84</v>
      </c>
    </row>
    <row r="367" spans="1:10" x14ac:dyDescent="0.3">
      <c r="A367" s="1">
        <v>10366</v>
      </c>
      <c r="B367" s="1">
        <v>1571</v>
      </c>
      <c r="C367" s="2">
        <v>45223</v>
      </c>
      <c r="D367" s="1" t="s">
        <v>10</v>
      </c>
      <c r="E367" s="1" t="s">
        <v>27</v>
      </c>
      <c r="F367" s="1" t="s">
        <v>44</v>
      </c>
      <c r="G367" s="1" t="s">
        <v>14</v>
      </c>
      <c r="H367" s="1">
        <v>5</v>
      </c>
      <c r="I367" s="1">
        <v>3320.88</v>
      </c>
      <c r="J367" s="1">
        <v>16604.400000000001</v>
      </c>
    </row>
    <row r="368" spans="1:10" x14ac:dyDescent="0.3">
      <c r="A368" s="1">
        <v>10367</v>
      </c>
      <c r="B368" s="1">
        <v>1880</v>
      </c>
      <c r="C368" s="2">
        <v>45090</v>
      </c>
      <c r="D368" s="1" t="s">
        <v>31</v>
      </c>
      <c r="E368" s="1" t="s">
        <v>22</v>
      </c>
      <c r="F368" s="1" t="s">
        <v>43</v>
      </c>
      <c r="G368" s="1" t="s">
        <v>30</v>
      </c>
      <c r="H368" s="1">
        <v>8</v>
      </c>
      <c r="I368" s="1">
        <v>3610.33</v>
      </c>
      <c r="J368" s="1">
        <v>27438.51</v>
      </c>
    </row>
    <row r="369" spans="1:10" x14ac:dyDescent="0.3">
      <c r="A369" s="1">
        <v>10368</v>
      </c>
      <c r="B369" s="1">
        <v>1001</v>
      </c>
      <c r="C369" s="2">
        <v>45011</v>
      </c>
      <c r="D369" s="1" t="s">
        <v>15</v>
      </c>
      <c r="E369" s="1" t="s">
        <v>22</v>
      </c>
      <c r="F369" s="1" t="s">
        <v>13</v>
      </c>
      <c r="G369" s="1" t="s">
        <v>14</v>
      </c>
      <c r="H369" s="1">
        <v>7</v>
      </c>
      <c r="I369" s="1">
        <v>2279.48</v>
      </c>
      <c r="J369" s="1">
        <v>13562.91</v>
      </c>
    </row>
    <row r="370" spans="1:10" x14ac:dyDescent="0.3">
      <c r="A370" s="1">
        <v>10369</v>
      </c>
      <c r="B370" s="1">
        <v>1896</v>
      </c>
      <c r="C370" s="2">
        <v>44998</v>
      </c>
      <c r="D370" s="1" t="s">
        <v>15</v>
      </c>
      <c r="E370" s="1" t="s">
        <v>22</v>
      </c>
      <c r="F370" s="1" t="s">
        <v>23</v>
      </c>
      <c r="G370" s="1" t="s">
        <v>32</v>
      </c>
      <c r="H370" s="1">
        <v>8</v>
      </c>
      <c r="I370" s="1">
        <v>3277.19</v>
      </c>
      <c r="J370" s="1">
        <v>22284.89</v>
      </c>
    </row>
    <row r="371" spans="1:10" x14ac:dyDescent="0.3">
      <c r="A371" s="1">
        <v>10370</v>
      </c>
      <c r="B371" s="1">
        <v>1303</v>
      </c>
      <c r="C371" s="2">
        <v>44981</v>
      </c>
      <c r="D371" s="1" t="s">
        <v>15</v>
      </c>
      <c r="E371" s="1" t="s">
        <v>12</v>
      </c>
      <c r="F371" s="1" t="s">
        <v>44</v>
      </c>
      <c r="G371" s="1" t="s">
        <v>18</v>
      </c>
      <c r="H371" s="1">
        <v>6</v>
      </c>
      <c r="I371" s="1">
        <v>1628.56</v>
      </c>
      <c r="J371" s="1">
        <v>9771.36</v>
      </c>
    </row>
    <row r="372" spans="1:10" x14ac:dyDescent="0.3">
      <c r="A372" s="1">
        <v>10371</v>
      </c>
      <c r="B372" s="1">
        <v>1253</v>
      </c>
      <c r="C372" s="2">
        <v>44973</v>
      </c>
      <c r="D372" s="1" t="s">
        <v>21</v>
      </c>
      <c r="E372" s="1" t="s">
        <v>12</v>
      </c>
      <c r="F372" s="1" t="s">
        <v>49</v>
      </c>
      <c r="G372" s="1" t="s">
        <v>32</v>
      </c>
      <c r="H372" s="1">
        <v>6</v>
      </c>
      <c r="I372" s="1">
        <v>2715.13</v>
      </c>
      <c r="J372" s="1">
        <v>13032.62</v>
      </c>
    </row>
    <row r="373" spans="1:10" x14ac:dyDescent="0.3">
      <c r="A373" s="1">
        <v>10372</v>
      </c>
      <c r="B373" s="1">
        <v>1651</v>
      </c>
      <c r="C373" s="2">
        <v>45164</v>
      </c>
      <c r="D373" s="1" t="s">
        <v>11</v>
      </c>
      <c r="E373" s="1" t="s">
        <v>22</v>
      </c>
      <c r="F373" s="1" t="s">
        <v>44</v>
      </c>
      <c r="G373" s="1" t="s">
        <v>14</v>
      </c>
      <c r="H373" s="1">
        <v>2</v>
      </c>
      <c r="I373" s="1">
        <v>3957.02</v>
      </c>
      <c r="J373" s="1">
        <v>7518.34</v>
      </c>
    </row>
    <row r="374" spans="1:10" x14ac:dyDescent="0.3">
      <c r="A374" s="1">
        <v>10373</v>
      </c>
      <c r="B374" s="1">
        <v>1452</v>
      </c>
      <c r="C374" s="2">
        <v>45030</v>
      </c>
      <c r="D374" s="1" t="s">
        <v>15</v>
      </c>
      <c r="E374" s="1" t="s">
        <v>12</v>
      </c>
      <c r="F374" s="1" t="s">
        <v>36</v>
      </c>
      <c r="G374" s="1" t="s">
        <v>14</v>
      </c>
      <c r="H374" s="1">
        <v>6</v>
      </c>
      <c r="I374" s="1">
        <v>1019.05</v>
      </c>
      <c r="J374" s="1">
        <v>6114.3</v>
      </c>
    </row>
    <row r="375" spans="1:10" x14ac:dyDescent="0.3">
      <c r="A375" s="1">
        <v>10374</v>
      </c>
      <c r="B375" s="1">
        <v>1036</v>
      </c>
      <c r="C375" s="2">
        <v>45136</v>
      </c>
      <c r="D375" s="1" t="s">
        <v>24</v>
      </c>
      <c r="E375" s="1" t="s">
        <v>27</v>
      </c>
      <c r="F375" s="1" t="s">
        <v>39</v>
      </c>
      <c r="G375" s="1" t="s">
        <v>20</v>
      </c>
      <c r="H375" s="1">
        <v>5</v>
      </c>
      <c r="I375" s="1">
        <v>1651.11</v>
      </c>
      <c r="J375" s="1">
        <v>6604.44</v>
      </c>
    </row>
    <row r="376" spans="1:10" x14ac:dyDescent="0.3">
      <c r="A376" s="1">
        <v>10375</v>
      </c>
      <c r="B376" s="1">
        <v>1159</v>
      </c>
      <c r="C376" s="2">
        <v>44968</v>
      </c>
      <c r="D376" s="1" t="s">
        <v>26</v>
      </c>
      <c r="E376" s="1" t="s">
        <v>22</v>
      </c>
      <c r="F376" s="1" t="s">
        <v>41</v>
      </c>
      <c r="G376" s="1" t="s">
        <v>30</v>
      </c>
      <c r="H376" s="1">
        <v>3</v>
      </c>
      <c r="I376" s="1">
        <v>1998.18</v>
      </c>
      <c r="J376" s="1">
        <v>5694.81</v>
      </c>
    </row>
    <row r="377" spans="1:10" x14ac:dyDescent="0.3">
      <c r="A377" s="1">
        <v>10376</v>
      </c>
      <c r="B377" s="1">
        <v>1008</v>
      </c>
      <c r="C377" s="2">
        <v>45242</v>
      </c>
      <c r="D377" s="1" t="s">
        <v>24</v>
      </c>
      <c r="E377" s="1" t="s">
        <v>12</v>
      </c>
      <c r="F377" s="1" t="s">
        <v>40</v>
      </c>
      <c r="G377" s="1" t="s">
        <v>30</v>
      </c>
      <c r="H377" s="1">
        <v>6</v>
      </c>
      <c r="I377" s="1">
        <v>681.36</v>
      </c>
      <c r="J377" s="1">
        <v>3474.94</v>
      </c>
    </row>
    <row r="378" spans="1:10" x14ac:dyDescent="0.3">
      <c r="A378" s="1">
        <v>10377</v>
      </c>
      <c r="B378" s="1">
        <v>1232</v>
      </c>
      <c r="C378" s="2">
        <v>45194</v>
      </c>
      <c r="D378" s="1" t="s">
        <v>15</v>
      </c>
      <c r="E378" s="1" t="s">
        <v>16</v>
      </c>
      <c r="F378" s="1" t="s">
        <v>38</v>
      </c>
      <c r="G378" s="1" t="s">
        <v>32</v>
      </c>
      <c r="H378" s="1">
        <v>8</v>
      </c>
      <c r="I378" s="1">
        <v>462</v>
      </c>
      <c r="J378" s="1">
        <v>3511.2</v>
      </c>
    </row>
    <row r="379" spans="1:10" x14ac:dyDescent="0.3">
      <c r="A379" s="1">
        <v>10378</v>
      </c>
      <c r="B379" s="1">
        <v>1098</v>
      </c>
      <c r="C379" s="2">
        <v>45189</v>
      </c>
      <c r="D379" s="1" t="s">
        <v>26</v>
      </c>
      <c r="E379" s="1" t="s">
        <v>22</v>
      </c>
      <c r="F379" s="1" t="s">
        <v>45</v>
      </c>
      <c r="G379" s="1" t="s">
        <v>18</v>
      </c>
      <c r="H379" s="1">
        <v>9</v>
      </c>
      <c r="I379" s="1">
        <v>3344.43</v>
      </c>
      <c r="J379" s="1">
        <v>27089.88</v>
      </c>
    </row>
    <row r="380" spans="1:10" x14ac:dyDescent="0.3">
      <c r="A380" s="1">
        <v>10379</v>
      </c>
      <c r="B380" s="1">
        <v>1658</v>
      </c>
      <c r="C380" s="2">
        <v>45262</v>
      </c>
      <c r="D380" s="1" t="s">
        <v>10</v>
      </c>
      <c r="E380" s="1" t="s">
        <v>22</v>
      </c>
      <c r="F380" s="1" t="s">
        <v>50</v>
      </c>
      <c r="G380" s="1" t="s">
        <v>30</v>
      </c>
      <c r="H380" s="1">
        <v>1</v>
      </c>
      <c r="I380" s="1">
        <v>3910.66</v>
      </c>
      <c r="J380" s="1">
        <v>3715.13</v>
      </c>
    </row>
    <row r="381" spans="1:10" x14ac:dyDescent="0.3">
      <c r="A381" s="1">
        <v>10380</v>
      </c>
      <c r="B381" s="1">
        <v>1815</v>
      </c>
      <c r="C381" s="2">
        <v>45291</v>
      </c>
      <c r="D381" s="1" t="s">
        <v>24</v>
      </c>
      <c r="E381" s="1" t="s">
        <v>27</v>
      </c>
      <c r="F381" s="1" t="s">
        <v>37</v>
      </c>
      <c r="G381" s="1" t="s">
        <v>20</v>
      </c>
      <c r="H381" s="1">
        <v>3</v>
      </c>
      <c r="I381" s="1">
        <v>1708.19</v>
      </c>
      <c r="J381" s="1">
        <v>4612.1099999999997</v>
      </c>
    </row>
    <row r="382" spans="1:10" x14ac:dyDescent="0.3">
      <c r="A382" s="1">
        <v>10381</v>
      </c>
      <c r="B382" s="1">
        <v>1207</v>
      </c>
      <c r="C382" s="2">
        <v>45185</v>
      </c>
      <c r="D382" s="1" t="s">
        <v>11</v>
      </c>
      <c r="E382" s="1" t="s">
        <v>29</v>
      </c>
      <c r="F382" s="1" t="s">
        <v>38</v>
      </c>
      <c r="G382" s="1" t="s">
        <v>32</v>
      </c>
      <c r="H382" s="1">
        <v>3</v>
      </c>
      <c r="I382" s="1">
        <v>487.45</v>
      </c>
      <c r="J382" s="1">
        <v>1389.23</v>
      </c>
    </row>
    <row r="383" spans="1:10" x14ac:dyDescent="0.3">
      <c r="A383" s="1">
        <v>10382</v>
      </c>
      <c r="B383" s="1">
        <v>1130</v>
      </c>
      <c r="C383" s="2">
        <v>45209</v>
      </c>
      <c r="D383" s="1" t="s">
        <v>11</v>
      </c>
      <c r="E383" s="1" t="s">
        <v>29</v>
      </c>
      <c r="F383" s="1" t="s">
        <v>23</v>
      </c>
      <c r="G383" s="1" t="s">
        <v>32</v>
      </c>
      <c r="H383" s="1">
        <v>8</v>
      </c>
      <c r="I383" s="1">
        <v>403.38</v>
      </c>
      <c r="J383" s="1">
        <v>2904.34</v>
      </c>
    </row>
    <row r="384" spans="1:10" x14ac:dyDescent="0.3">
      <c r="A384" s="1">
        <v>10383</v>
      </c>
      <c r="B384" s="1">
        <v>1403</v>
      </c>
      <c r="C384" s="2">
        <v>45040</v>
      </c>
      <c r="D384" s="1" t="s">
        <v>24</v>
      </c>
      <c r="E384" s="1" t="s">
        <v>27</v>
      </c>
      <c r="F384" s="1" t="s">
        <v>33</v>
      </c>
      <c r="G384" s="1" t="s">
        <v>20</v>
      </c>
      <c r="H384" s="1">
        <v>1</v>
      </c>
      <c r="I384" s="1">
        <v>3581.58</v>
      </c>
      <c r="J384" s="1">
        <v>3044.34</v>
      </c>
    </row>
    <row r="385" spans="1:10" x14ac:dyDescent="0.3">
      <c r="A385" s="1">
        <v>10384</v>
      </c>
      <c r="B385" s="1">
        <v>1151</v>
      </c>
      <c r="C385" s="2">
        <v>45289</v>
      </c>
      <c r="D385" s="1" t="s">
        <v>15</v>
      </c>
      <c r="E385" s="1" t="s">
        <v>27</v>
      </c>
      <c r="F385" s="1" t="s">
        <v>37</v>
      </c>
      <c r="G385" s="1" t="s">
        <v>18</v>
      </c>
      <c r="H385" s="1">
        <v>5</v>
      </c>
      <c r="I385" s="1">
        <v>1935.68</v>
      </c>
      <c r="J385" s="1">
        <v>7742.72</v>
      </c>
    </row>
    <row r="386" spans="1:10" x14ac:dyDescent="0.3">
      <c r="A386" s="1">
        <v>10385</v>
      </c>
      <c r="B386" s="1">
        <v>1053</v>
      </c>
      <c r="C386" s="2">
        <v>44966</v>
      </c>
      <c r="D386" s="1" t="s">
        <v>11</v>
      </c>
      <c r="E386" s="1" t="s">
        <v>27</v>
      </c>
      <c r="F386" s="1" t="s">
        <v>45</v>
      </c>
      <c r="G386" s="1" t="s">
        <v>20</v>
      </c>
      <c r="H386" s="1">
        <v>3</v>
      </c>
      <c r="I386" s="1">
        <v>1382.11</v>
      </c>
      <c r="J386" s="1">
        <v>3731.7</v>
      </c>
    </row>
    <row r="387" spans="1:10" x14ac:dyDescent="0.3">
      <c r="A387" s="1">
        <v>10386</v>
      </c>
      <c r="B387" s="1">
        <v>1119</v>
      </c>
      <c r="C387" s="2">
        <v>45146</v>
      </c>
      <c r="D387" s="1" t="s">
        <v>10</v>
      </c>
      <c r="E387" s="1" t="s">
        <v>29</v>
      </c>
      <c r="F387" s="1" t="s">
        <v>49</v>
      </c>
      <c r="G387" s="1" t="s">
        <v>18</v>
      </c>
      <c r="H387" s="1">
        <v>2</v>
      </c>
      <c r="I387" s="1">
        <v>1984.38</v>
      </c>
      <c r="J387" s="1">
        <v>3571.88</v>
      </c>
    </row>
    <row r="388" spans="1:10" x14ac:dyDescent="0.3">
      <c r="A388" s="1">
        <v>10387</v>
      </c>
      <c r="B388" s="1">
        <v>1672</v>
      </c>
      <c r="C388" s="2">
        <v>45055</v>
      </c>
      <c r="D388" s="1" t="s">
        <v>31</v>
      </c>
      <c r="E388" s="1" t="s">
        <v>27</v>
      </c>
      <c r="F388" s="1" t="s">
        <v>19</v>
      </c>
      <c r="G388" s="1" t="s">
        <v>20</v>
      </c>
      <c r="H388" s="1">
        <v>8</v>
      </c>
      <c r="I388" s="1">
        <v>1375.47</v>
      </c>
      <c r="J388" s="1">
        <v>9353.2000000000007</v>
      </c>
    </row>
    <row r="389" spans="1:10" x14ac:dyDescent="0.3">
      <c r="A389" s="1">
        <v>10388</v>
      </c>
      <c r="B389" s="1">
        <v>1919</v>
      </c>
      <c r="C389" s="2">
        <v>44934</v>
      </c>
      <c r="D389" s="1" t="s">
        <v>15</v>
      </c>
      <c r="E389" s="1" t="s">
        <v>12</v>
      </c>
      <c r="F389" s="1" t="s">
        <v>25</v>
      </c>
      <c r="G389" s="1" t="s">
        <v>20</v>
      </c>
      <c r="H389" s="1">
        <v>3</v>
      </c>
      <c r="I389" s="1">
        <v>2032.79</v>
      </c>
      <c r="J389" s="1">
        <v>5488.53</v>
      </c>
    </row>
    <row r="390" spans="1:10" x14ac:dyDescent="0.3">
      <c r="A390" s="1">
        <v>10389</v>
      </c>
      <c r="B390" s="1">
        <v>1627</v>
      </c>
      <c r="C390" s="2">
        <v>45027</v>
      </c>
      <c r="D390" s="1" t="s">
        <v>10</v>
      </c>
      <c r="E390" s="1" t="s">
        <v>22</v>
      </c>
      <c r="F390" s="1" t="s">
        <v>50</v>
      </c>
      <c r="G390" s="1" t="s">
        <v>14</v>
      </c>
      <c r="H390" s="1">
        <v>7</v>
      </c>
      <c r="I390" s="1">
        <v>3459.29</v>
      </c>
      <c r="J390" s="1">
        <v>24215.03</v>
      </c>
    </row>
    <row r="391" spans="1:10" x14ac:dyDescent="0.3">
      <c r="A391" s="1">
        <v>10390</v>
      </c>
      <c r="B391" s="1">
        <v>1586</v>
      </c>
      <c r="C391" s="2">
        <v>45102</v>
      </c>
      <c r="D391" s="1" t="s">
        <v>26</v>
      </c>
      <c r="E391" s="1" t="s">
        <v>22</v>
      </c>
      <c r="F391" s="1" t="s">
        <v>33</v>
      </c>
      <c r="G391" s="1" t="s">
        <v>32</v>
      </c>
      <c r="H391" s="1">
        <v>1</v>
      </c>
      <c r="I391" s="1">
        <v>2430.36</v>
      </c>
      <c r="J391" s="1">
        <v>2065.81</v>
      </c>
    </row>
    <row r="392" spans="1:10" x14ac:dyDescent="0.3">
      <c r="A392" s="1">
        <v>10391</v>
      </c>
      <c r="B392" s="1">
        <v>1624</v>
      </c>
      <c r="C392" s="2">
        <v>45033</v>
      </c>
      <c r="D392" s="1" t="s">
        <v>10</v>
      </c>
      <c r="E392" s="1" t="s">
        <v>16</v>
      </c>
      <c r="F392" s="1" t="s">
        <v>47</v>
      </c>
      <c r="G392" s="1" t="s">
        <v>20</v>
      </c>
      <c r="H392" s="1">
        <v>6</v>
      </c>
      <c r="I392" s="1">
        <v>2824.42</v>
      </c>
      <c r="J392" s="1">
        <v>16946.52</v>
      </c>
    </row>
    <row r="393" spans="1:10" x14ac:dyDescent="0.3">
      <c r="A393" s="1">
        <v>10392</v>
      </c>
      <c r="B393" s="1">
        <v>1967</v>
      </c>
      <c r="C393" s="2">
        <v>45027</v>
      </c>
      <c r="D393" s="1" t="s">
        <v>15</v>
      </c>
      <c r="E393" s="1" t="s">
        <v>16</v>
      </c>
      <c r="F393" s="1" t="s">
        <v>41</v>
      </c>
      <c r="G393" s="1" t="s">
        <v>20</v>
      </c>
      <c r="H393" s="1">
        <v>3</v>
      </c>
      <c r="I393" s="1">
        <v>1553.98</v>
      </c>
      <c r="J393" s="1">
        <v>3962.65</v>
      </c>
    </row>
    <row r="394" spans="1:10" x14ac:dyDescent="0.3">
      <c r="A394" s="1">
        <v>10393</v>
      </c>
      <c r="B394" s="1">
        <v>1419</v>
      </c>
      <c r="C394" s="2">
        <v>45186</v>
      </c>
      <c r="D394" s="1" t="s">
        <v>26</v>
      </c>
      <c r="E394" s="1" t="s">
        <v>22</v>
      </c>
      <c r="F394" s="1" t="s">
        <v>41</v>
      </c>
      <c r="G394" s="1" t="s">
        <v>30</v>
      </c>
      <c r="H394" s="1">
        <v>8</v>
      </c>
      <c r="I394" s="1">
        <v>2993.25</v>
      </c>
      <c r="J394" s="1">
        <v>21551.4</v>
      </c>
    </row>
    <row r="395" spans="1:10" x14ac:dyDescent="0.3">
      <c r="A395" s="1">
        <v>10394</v>
      </c>
      <c r="B395" s="1">
        <v>1421</v>
      </c>
      <c r="C395" s="2">
        <v>45172</v>
      </c>
      <c r="D395" s="1" t="s">
        <v>15</v>
      </c>
      <c r="E395" s="1" t="s">
        <v>12</v>
      </c>
      <c r="F395" s="1" t="s">
        <v>34</v>
      </c>
      <c r="G395" s="1" t="s">
        <v>32</v>
      </c>
      <c r="H395" s="1">
        <v>6</v>
      </c>
      <c r="I395" s="1">
        <v>2716.48</v>
      </c>
      <c r="J395" s="1">
        <v>16298.88</v>
      </c>
    </row>
    <row r="396" spans="1:10" x14ac:dyDescent="0.3">
      <c r="A396" s="1">
        <v>10395</v>
      </c>
      <c r="B396" s="1">
        <v>1103</v>
      </c>
      <c r="C396" s="2">
        <v>45201</v>
      </c>
      <c r="D396" s="1" t="s">
        <v>11</v>
      </c>
      <c r="E396" s="1" t="s">
        <v>29</v>
      </c>
      <c r="F396" s="1" t="s">
        <v>23</v>
      </c>
      <c r="G396" s="1" t="s">
        <v>30</v>
      </c>
      <c r="H396" s="1">
        <v>2</v>
      </c>
      <c r="I396" s="1">
        <v>610.30999999999995</v>
      </c>
      <c r="J396" s="1">
        <v>1098.56</v>
      </c>
    </row>
    <row r="397" spans="1:10" x14ac:dyDescent="0.3">
      <c r="A397" s="1">
        <v>10396</v>
      </c>
      <c r="B397" s="1">
        <v>1851</v>
      </c>
      <c r="C397" s="2">
        <v>44958</v>
      </c>
      <c r="D397" s="1" t="s">
        <v>31</v>
      </c>
      <c r="E397" s="1" t="s">
        <v>29</v>
      </c>
      <c r="F397" s="1" t="s">
        <v>35</v>
      </c>
      <c r="G397" s="1" t="s">
        <v>32</v>
      </c>
      <c r="H397" s="1">
        <v>6</v>
      </c>
      <c r="I397" s="1">
        <v>2354.67</v>
      </c>
      <c r="J397" s="1">
        <v>12008.82</v>
      </c>
    </row>
    <row r="398" spans="1:10" x14ac:dyDescent="0.3">
      <c r="A398" s="1">
        <v>10397</v>
      </c>
      <c r="B398" s="1">
        <v>1253</v>
      </c>
      <c r="C398" s="2">
        <v>45063</v>
      </c>
      <c r="D398" s="1" t="s">
        <v>15</v>
      </c>
      <c r="E398" s="1" t="s">
        <v>12</v>
      </c>
      <c r="F398" s="1" t="s">
        <v>25</v>
      </c>
      <c r="G398" s="1" t="s">
        <v>30</v>
      </c>
      <c r="H398" s="1">
        <v>7</v>
      </c>
      <c r="I398" s="1">
        <v>1138.46</v>
      </c>
      <c r="J398" s="1">
        <v>7172.3</v>
      </c>
    </row>
    <row r="399" spans="1:10" x14ac:dyDescent="0.3">
      <c r="A399" s="1">
        <v>10398</v>
      </c>
      <c r="B399" s="1">
        <v>1226</v>
      </c>
      <c r="C399" s="2">
        <v>44938</v>
      </c>
      <c r="D399" s="1" t="s">
        <v>15</v>
      </c>
      <c r="E399" s="1" t="s">
        <v>29</v>
      </c>
      <c r="F399" s="1" t="s">
        <v>44</v>
      </c>
      <c r="G399" s="1" t="s">
        <v>20</v>
      </c>
      <c r="H399" s="1">
        <v>5</v>
      </c>
      <c r="I399" s="1">
        <v>3245.77</v>
      </c>
      <c r="J399" s="1">
        <v>16228.85</v>
      </c>
    </row>
    <row r="400" spans="1:10" x14ac:dyDescent="0.3">
      <c r="A400" s="1">
        <v>10399</v>
      </c>
      <c r="B400" s="1">
        <v>1111</v>
      </c>
      <c r="C400" s="2">
        <v>45228</v>
      </c>
      <c r="D400" s="1" t="s">
        <v>11</v>
      </c>
      <c r="E400" s="1" t="s">
        <v>27</v>
      </c>
      <c r="F400" s="1" t="s">
        <v>28</v>
      </c>
      <c r="G400" s="1" t="s">
        <v>20</v>
      </c>
      <c r="H400" s="1">
        <v>3</v>
      </c>
      <c r="I400" s="1">
        <v>1789.86</v>
      </c>
      <c r="J400" s="1">
        <v>5369.58</v>
      </c>
    </row>
    <row r="401" spans="1:10" x14ac:dyDescent="0.3">
      <c r="A401" s="1">
        <v>10400</v>
      </c>
      <c r="B401" s="1">
        <v>1509</v>
      </c>
      <c r="C401" s="2">
        <v>44942</v>
      </c>
      <c r="D401" s="1" t="s">
        <v>21</v>
      </c>
      <c r="E401" s="1" t="s">
        <v>22</v>
      </c>
      <c r="F401" s="1" t="s">
        <v>41</v>
      </c>
      <c r="G401" s="1" t="s">
        <v>14</v>
      </c>
      <c r="H401" s="1">
        <v>4</v>
      </c>
      <c r="I401" s="1">
        <v>3979.53</v>
      </c>
      <c r="J401" s="1">
        <v>14326.31</v>
      </c>
    </row>
    <row r="402" spans="1:10" x14ac:dyDescent="0.3">
      <c r="A402" s="1">
        <v>10401</v>
      </c>
      <c r="B402" s="1">
        <v>1472</v>
      </c>
      <c r="C402" s="2">
        <v>45055</v>
      </c>
      <c r="D402" s="1" t="s">
        <v>11</v>
      </c>
      <c r="E402" s="1" t="s">
        <v>22</v>
      </c>
      <c r="F402" s="1" t="s">
        <v>33</v>
      </c>
      <c r="G402" s="1" t="s">
        <v>30</v>
      </c>
      <c r="H402" s="1">
        <v>4</v>
      </c>
      <c r="I402" s="1">
        <v>506.13</v>
      </c>
      <c r="J402" s="1">
        <v>1923.29</v>
      </c>
    </row>
    <row r="403" spans="1:10" x14ac:dyDescent="0.3">
      <c r="A403" s="1">
        <v>10402</v>
      </c>
      <c r="B403" s="1">
        <v>1098</v>
      </c>
      <c r="C403" s="2">
        <v>44989</v>
      </c>
      <c r="D403" s="1" t="s">
        <v>26</v>
      </c>
      <c r="E403" s="1" t="s">
        <v>12</v>
      </c>
      <c r="F403" s="1" t="s">
        <v>35</v>
      </c>
      <c r="G403" s="1" t="s">
        <v>18</v>
      </c>
      <c r="H403" s="1">
        <v>6</v>
      </c>
      <c r="I403" s="1">
        <v>3154.34</v>
      </c>
      <c r="J403" s="1">
        <v>16087.13</v>
      </c>
    </row>
    <row r="404" spans="1:10" x14ac:dyDescent="0.3">
      <c r="A404" s="1">
        <v>10403</v>
      </c>
      <c r="B404" s="1">
        <v>1152</v>
      </c>
      <c r="C404" s="2">
        <v>45035</v>
      </c>
      <c r="D404" s="1" t="s">
        <v>11</v>
      </c>
      <c r="E404" s="1" t="s">
        <v>29</v>
      </c>
      <c r="F404" s="1" t="s">
        <v>23</v>
      </c>
      <c r="G404" s="1" t="s">
        <v>14</v>
      </c>
      <c r="H404" s="1">
        <v>1</v>
      </c>
      <c r="I404" s="1">
        <v>2743.75</v>
      </c>
      <c r="J404" s="1">
        <v>2332.19</v>
      </c>
    </row>
    <row r="405" spans="1:10" x14ac:dyDescent="0.3">
      <c r="A405" s="1">
        <v>10404</v>
      </c>
      <c r="B405" s="1">
        <v>1860</v>
      </c>
      <c r="C405" s="2">
        <v>44947</v>
      </c>
      <c r="D405" s="1" t="s">
        <v>11</v>
      </c>
      <c r="E405" s="1" t="s">
        <v>16</v>
      </c>
      <c r="F405" s="1" t="s">
        <v>47</v>
      </c>
      <c r="G405" s="1" t="s">
        <v>30</v>
      </c>
      <c r="H405" s="1">
        <v>4</v>
      </c>
      <c r="I405" s="1">
        <v>3104.87</v>
      </c>
      <c r="J405" s="1">
        <v>11177.53</v>
      </c>
    </row>
    <row r="406" spans="1:10" x14ac:dyDescent="0.3">
      <c r="A406" s="1">
        <v>10405</v>
      </c>
      <c r="B406" s="1">
        <v>1913</v>
      </c>
      <c r="C406" s="2">
        <v>45084</v>
      </c>
      <c r="D406" s="1" t="s">
        <v>31</v>
      </c>
      <c r="E406" s="1" t="s">
        <v>16</v>
      </c>
      <c r="F406" s="1" t="s">
        <v>47</v>
      </c>
      <c r="G406" s="1" t="s">
        <v>30</v>
      </c>
      <c r="H406" s="1">
        <v>4</v>
      </c>
      <c r="I406" s="1">
        <v>1333.99</v>
      </c>
      <c r="J406" s="1">
        <v>5069.16</v>
      </c>
    </row>
    <row r="407" spans="1:10" x14ac:dyDescent="0.3">
      <c r="A407" s="1">
        <v>10406</v>
      </c>
      <c r="B407" s="1">
        <v>1895</v>
      </c>
      <c r="C407" s="2">
        <v>45195</v>
      </c>
      <c r="D407" s="1" t="s">
        <v>11</v>
      </c>
      <c r="E407" s="1" t="s">
        <v>29</v>
      </c>
      <c r="F407" s="1" t="s">
        <v>35</v>
      </c>
      <c r="G407" s="1" t="s">
        <v>14</v>
      </c>
      <c r="H407" s="1">
        <v>1</v>
      </c>
      <c r="I407" s="1">
        <v>2044.41</v>
      </c>
      <c r="J407" s="1">
        <v>2044.41</v>
      </c>
    </row>
    <row r="408" spans="1:10" x14ac:dyDescent="0.3">
      <c r="A408" s="1">
        <v>10407</v>
      </c>
      <c r="B408" s="1">
        <v>1877</v>
      </c>
      <c r="C408" s="2">
        <v>45088</v>
      </c>
      <c r="D408" s="1" t="s">
        <v>15</v>
      </c>
      <c r="E408" s="1" t="s">
        <v>16</v>
      </c>
      <c r="F408" s="1" t="s">
        <v>36</v>
      </c>
      <c r="G408" s="1" t="s">
        <v>20</v>
      </c>
      <c r="H408" s="1">
        <v>9</v>
      </c>
      <c r="I408" s="1">
        <v>3216.56</v>
      </c>
      <c r="J408" s="1">
        <v>23159.23</v>
      </c>
    </row>
    <row r="409" spans="1:10" x14ac:dyDescent="0.3">
      <c r="A409" s="1">
        <v>10408</v>
      </c>
      <c r="B409" s="1">
        <v>1337</v>
      </c>
      <c r="C409" s="2">
        <v>45186</v>
      </c>
      <c r="D409" s="1" t="s">
        <v>31</v>
      </c>
      <c r="E409" s="1" t="s">
        <v>12</v>
      </c>
      <c r="F409" s="1" t="s">
        <v>44</v>
      </c>
      <c r="G409" s="1" t="s">
        <v>30</v>
      </c>
      <c r="H409" s="1">
        <v>4</v>
      </c>
      <c r="I409" s="1">
        <v>1045.28</v>
      </c>
      <c r="J409" s="1">
        <v>3344.9</v>
      </c>
    </row>
    <row r="410" spans="1:10" x14ac:dyDescent="0.3">
      <c r="A410" s="1">
        <v>10409</v>
      </c>
      <c r="B410" s="1">
        <v>1705</v>
      </c>
      <c r="C410" s="2">
        <v>45028</v>
      </c>
      <c r="D410" s="1" t="s">
        <v>24</v>
      </c>
      <c r="E410" s="1" t="s">
        <v>12</v>
      </c>
      <c r="F410" s="1" t="s">
        <v>25</v>
      </c>
      <c r="G410" s="1" t="s">
        <v>20</v>
      </c>
      <c r="H410" s="1">
        <v>7</v>
      </c>
      <c r="I410" s="1">
        <v>1020.23</v>
      </c>
      <c r="J410" s="1">
        <v>6427.45</v>
      </c>
    </row>
    <row r="411" spans="1:10" x14ac:dyDescent="0.3">
      <c r="A411" s="1">
        <v>10410</v>
      </c>
      <c r="B411" s="1">
        <v>1821</v>
      </c>
      <c r="C411" s="2">
        <v>45149</v>
      </c>
      <c r="D411" s="1" t="s">
        <v>21</v>
      </c>
      <c r="E411" s="1" t="s">
        <v>29</v>
      </c>
      <c r="F411" s="1" t="s">
        <v>34</v>
      </c>
      <c r="G411" s="1" t="s">
        <v>14</v>
      </c>
      <c r="H411" s="1">
        <v>3</v>
      </c>
      <c r="I411" s="1">
        <v>2271.5500000000002</v>
      </c>
      <c r="J411" s="1">
        <v>6473.92</v>
      </c>
    </row>
    <row r="412" spans="1:10" x14ac:dyDescent="0.3">
      <c r="A412" s="1">
        <v>10411</v>
      </c>
      <c r="B412" s="1">
        <v>1162</v>
      </c>
      <c r="C412" s="2">
        <v>44985</v>
      </c>
      <c r="D412" s="1" t="s">
        <v>31</v>
      </c>
      <c r="E412" s="1" t="s">
        <v>16</v>
      </c>
      <c r="F412" s="1" t="s">
        <v>28</v>
      </c>
      <c r="G412" s="1" t="s">
        <v>20</v>
      </c>
      <c r="H412" s="1">
        <v>3</v>
      </c>
      <c r="I412" s="1">
        <v>2165.7199999999998</v>
      </c>
      <c r="J412" s="1">
        <v>6172.3</v>
      </c>
    </row>
    <row r="413" spans="1:10" x14ac:dyDescent="0.3">
      <c r="A413" s="1">
        <v>10412</v>
      </c>
      <c r="B413" s="1">
        <v>1719</v>
      </c>
      <c r="C413" s="2">
        <v>45173</v>
      </c>
      <c r="D413" s="1" t="s">
        <v>26</v>
      </c>
      <c r="E413" s="1" t="s">
        <v>12</v>
      </c>
      <c r="F413" s="1" t="s">
        <v>44</v>
      </c>
      <c r="G413" s="1" t="s">
        <v>32</v>
      </c>
      <c r="H413" s="1">
        <v>8</v>
      </c>
      <c r="I413" s="1">
        <v>1236.71</v>
      </c>
      <c r="J413" s="1">
        <v>8409.6299999999992</v>
      </c>
    </row>
    <row r="414" spans="1:10" x14ac:dyDescent="0.3">
      <c r="A414" s="1">
        <v>10413</v>
      </c>
      <c r="B414" s="1">
        <v>1956</v>
      </c>
      <c r="C414" s="2">
        <v>45054</v>
      </c>
      <c r="D414" s="1" t="s">
        <v>24</v>
      </c>
      <c r="E414" s="1" t="s">
        <v>12</v>
      </c>
      <c r="F414" s="1" t="s">
        <v>36</v>
      </c>
      <c r="G414" s="1" t="s">
        <v>18</v>
      </c>
      <c r="H414" s="1">
        <v>8</v>
      </c>
      <c r="I414" s="1">
        <v>1297.5899999999999</v>
      </c>
      <c r="J414" s="1">
        <v>10380.719999999999</v>
      </c>
    </row>
    <row r="415" spans="1:10" x14ac:dyDescent="0.3">
      <c r="A415" s="1">
        <v>10414</v>
      </c>
      <c r="B415" s="1">
        <v>1680</v>
      </c>
      <c r="C415" s="2">
        <v>45209</v>
      </c>
      <c r="D415" s="1" t="s">
        <v>31</v>
      </c>
      <c r="E415" s="1" t="s">
        <v>27</v>
      </c>
      <c r="F415" s="1" t="s">
        <v>23</v>
      </c>
      <c r="G415" s="1" t="s">
        <v>30</v>
      </c>
      <c r="H415" s="1">
        <v>1</v>
      </c>
      <c r="I415" s="1">
        <v>1219.7</v>
      </c>
      <c r="J415" s="1">
        <v>1158.71</v>
      </c>
    </row>
    <row r="416" spans="1:10" x14ac:dyDescent="0.3">
      <c r="A416" s="1">
        <v>10415</v>
      </c>
      <c r="B416" s="1">
        <v>1995</v>
      </c>
      <c r="C416" s="2">
        <v>45251</v>
      </c>
      <c r="D416" s="1" t="s">
        <v>31</v>
      </c>
      <c r="E416" s="1" t="s">
        <v>27</v>
      </c>
      <c r="F416" s="1" t="s">
        <v>48</v>
      </c>
      <c r="G416" s="1" t="s">
        <v>18</v>
      </c>
      <c r="H416" s="1">
        <v>2</v>
      </c>
      <c r="I416" s="1">
        <v>3120.32</v>
      </c>
      <c r="J416" s="1">
        <v>4992.51</v>
      </c>
    </row>
    <row r="417" spans="1:10" x14ac:dyDescent="0.3">
      <c r="A417" s="1">
        <v>10416</v>
      </c>
      <c r="B417" s="1">
        <v>1160</v>
      </c>
      <c r="C417" s="2">
        <v>44951</v>
      </c>
      <c r="D417" s="1" t="s">
        <v>21</v>
      </c>
      <c r="E417" s="1" t="s">
        <v>12</v>
      </c>
      <c r="F417" s="1" t="s">
        <v>44</v>
      </c>
      <c r="G417" s="1" t="s">
        <v>20</v>
      </c>
      <c r="H417" s="1">
        <v>8</v>
      </c>
      <c r="I417" s="1">
        <v>2659.82</v>
      </c>
      <c r="J417" s="1">
        <v>21278.560000000001</v>
      </c>
    </row>
    <row r="418" spans="1:10" x14ac:dyDescent="0.3">
      <c r="A418" s="1">
        <v>10417</v>
      </c>
      <c r="B418" s="1">
        <v>1579</v>
      </c>
      <c r="C418" s="2">
        <v>45057</v>
      </c>
      <c r="D418" s="1" t="s">
        <v>15</v>
      </c>
      <c r="E418" s="1" t="s">
        <v>29</v>
      </c>
      <c r="F418" s="1" t="s">
        <v>45</v>
      </c>
      <c r="G418" s="1" t="s">
        <v>30</v>
      </c>
      <c r="H418" s="1">
        <v>1</v>
      </c>
      <c r="I418" s="1">
        <v>3354.81</v>
      </c>
      <c r="J418" s="1">
        <v>3354.81</v>
      </c>
    </row>
    <row r="419" spans="1:10" x14ac:dyDescent="0.3">
      <c r="A419" s="1">
        <v>10418</v>
      </c>
      <c r="B419" s="1">
        <v>1800</v>
      </c>
      <c r="C419" s="2">
        <v>45279</v>
      </c>
      <c r="D419" s="1" t="s">
        <v>26</v>
      </c>
      <c r="E419" s="1" t="s">
        <v>22</v>
      </c>
      <c r="F419" s="1" t="s">
        <v>38</v>
      </c>
      <c r="G419" s="1" t="s">
        <v>20</v>
      </c>
      <c r="H419" s="1">
        <v>8</v>
      </c>
      <c r="I419" s="1">
        <v>3905.57</v>
      </c>
      <c r="J419" s="1">
        <v>28120.1</v>
      </c>
    </row>
    <row r="420" spans="1:10" x14ac:dyDescent="0.3">
      <c r="A420" s="1">
        <v>10419</v>
      </c>
      <c r="B420" s="1">
        <v>1397</v>
      </c>
      <c r="C420" s="2">
        <v>45122</v>
      </c>
      <c r="D420" s="1" t="s">
        <v>10</v>
      </c>
      <c r="E420" s="1" t="s">
        <v>22</v>
      </c>
      <c r="F420" s="1" t="s">
        <v>17</v>
      </c>
      <c r="G420" s="1" t="s">
        <v>32</v>
      </c>
      <c r="H420" s="1">
        <v>8</v>
      </c>
      <c r="I420" s="1">
        <v>1975.53</v>
      </c>
      <c r="J420" s="1">
        <v>15014.03</v>
      </c>
    </row>
    <row r="421" spans="1:10" x14ac:dyDescent="0.3">
      <c r="A421" s="1">
        <v>10420</v>
      </c>
      <c r="B421" s="1">
        <v>1276</v>
      </c>
      <c r="C421" s="2">
        <v>45207</v>
      </c>
      <c r="D421" s="1" t="s">
        <v>10</v>
      </c>
      <c r="E421" s="1" t="s">
        <v>12</v>
      </c>
      <c r="F421" s="1" t="s">
        <v>47</v>
      </c>
      <c r="G421" s="1" t="s">
        <v>14</v>
      </c>
      <c r="H421" s="1">
        <v>2</v>
      </c>
      <c r="I421" s="1">
        <v>406.77</v>
      </c>
      <c r="J421" s="1">
        <v>732.19</v>
      </c>
    </row>
    <row r="422" spans="1:10" x14ac:dyDescent="0.3">
      <c r="A422" s="1">
        <v>10421</v>
      </c>
      <c r="B422" s="1">
        <v>1815</v>
      </c>
      <c r="C422" s="2">
        <v>45080</v>
      </c>
      <c r="D422" s="1" t="s">
        <v>31</v>
      </c>
      <c r="E422" s="1" t="s">
        <v>12</v>
      </c>
      <c r="F422" s="1" t="s">
        <v>45</v>
      </c>
      <c r="G422" s="1" t="s">
        <v>30</v>
      </c>
      <c r="H422" s="1">
        <v>4</v>
      </c>
      <c r="I422" s="1">
        <v>335.16</v>
      </c>
      <c r="J422" s="1">
        <v>1273.6099999999999</v>
      </c>
    </row>
    <row r="423" spans="1:10" x14ac:dyDescent="0.3">
      <c r="A423" s="1">
        <v>10422</v>
      </c>
      <c r="B423" s="1">
        <v>1915</v>
      </c>
      <c r="C423" s="2">
        <v>45059</v>
      </c>
      <c r="D423" s="1" t="s">
        <v>11</v>
      </c>
      <c r="E423" s="1" t="s">
        <v>12</v>
      </c>
      <c r="F423" s="1" t="s">
        <v>45</v>
      </c>
      <c r="G423" s="1" t="s">
        <v>32</v>
      </c>
      <c r="H423" s="1">
        <v>6</v>
      </c>
      <c r="I423" s="1">
        <v>1288.31</v>
      </c>
      <c r="J423" s="1">
        <v>6570.38</v>
      </c>
    </row>
    <row r="424" spans="1:10" x14ac:dyDescent="0.3">
      <c r="A424" s="1">
        <v>10423</v>
      </c>
      <c r="B424" s="1">
        <v>1503</v>
      </c>
      <c r="C424" s="2">
        <v>45153</v>
      </c>
      <c r="D424" s="1" t="s">
        <v>26</v>
      </c>
      <c r="E424" s="1" t="s">
        <v>29</v>
      </c>
      <c r="F424" s="1" t="s">
        <v>41</v>
      </c>
      <c r="G424" s="1" t="s">
        <v>32</v>
      </c>
      <c r="H424" s="1">
        <v>9</v>
      </c>
      <c r="I424" s="1">
        <v>3740.3</v>
      </c>
      <c r="J424" s="1">
        <v>30296.43</v>
      </c>
    </row>
    <row r="425" spans="1:10" x14ac:dyDescent="0.3">
      <c r="A425" s="1">
        <v>10424</v>
      </c>
      <c r="B425" s="1">
        <v>1895</v>
      </c>
      <c r="C425" s="2">
        <v>45115</v>
      </c>
      <c r="D425" s="1" t="s">
        <v>24</v>
      </c>
      <c r="E425" s="1" t="s">
        <v>27</v>
      </c>
      <c r="F425" s="1" t="s">
        <v>38</v>
      </c>
      <c r="G425" s="1" t="s">
        <v>30</v>
      </c>
      <c r="H425" s="1">
        <v>8</v>
      </c>
      <c r="I425" s="1">
        <v>2164.37</v>
      </c>
      <c r="J425" s="1">
        <v>15583.46</v>
      </c>
    </row>
    <row r="426" spans="1:10" x14ac:dyDescent="0.3">
      <c r="A426" s="1">
        <v>10425</v>
      </c>
      <c r="B426" s="1">
        <v>1391</v>
      </c>
      <c r="C426" s="2">
        <v>45191</v>
      </c>
      <c r="D426" s="1" t="s">
        <v>11</v>
      </c>
      <c r="E426" s="1" t="s">
        <v>12</v>
      </c>
      <c r="F426" s="1" t="s">
        <v>25</v>
      </c>
      <c r="G426" s="1" t="s">
        <v>20</v>
      </c>
      <c r="H426" s="1">
        <v>8</v>
      </c>
      <c r="I426" s="1">
        <v>1196.3800000000001</v>
      </c>
      <c r="J426" s="1">
        <v>7656.83</v>
      </c>
    </row>
    <row r="427" spans="1:10" x14ac:dyDescent="0.3">
      <c r="A427" s="1">
        <v>10426</v>
      </c>
      <c r="B427" s="1">
        <v>1134</v>
      </c>
      <c r="C427" s="2">
        <v>45060</v>
      </c>
      <c r="D427" s="1" t="s">
        <v>11</v>
      </c>
      <c r="E427" s="1" t="s">
        <v>12</v>
      </c>
      <c r="F427" s="1" t="s">
        <v>19</v>
      </c>
      <c r="G427" s="1" t="s">
        <v>32</v>
      </c>
      <c r="H427" s="1">
        <v>7</v>
      </c>
      <c r="I427" s="1">
        <v>1686.79</v>
      </c>
      <c r="J427" s="1">
        <v>10626.78</v>
      </c>
    </row>
    <row r="428" spans="1:10" x14ac:dyDescent="0.3">
      <c r="A428" s="1">
        <v>10427</v>
      </c>
      <c r="B428" s="1">
        <v>1194</v>
      </c>
      <c r="C428" s="2">
        <v>45137</v>
      </c>
      <c r="D428" s="1" t="s">
        <v>26</v>
      </c>
      <c r="E428" s="1" t="s">
        <v>16</v>
      </c>
      <c r="F428" s="1" t="s">
        <v>37</v>
      </c>
      <c r="G428" s="1" t="s">
        <v>18</v>
      </c>
      <c r="H428" s="1">
        <v>9</v>
      </c>
      <c r="I428" s="1">
        <v>2454.59</v>
      </c>
      <c r="J428" s="1">
        <v>20986.74</v>
      </c>
    </row>
    <row r="429" spans="1:10" x14ac:dyDescent="0.3">
      <c r="A429" s="1">
        <v>10428</v>
      </c>
      <c r="B429" s="1">
        <v>1400</v>
      </c>
      <c r="C429" s="2">
        <v>44986</v>
      </c>
      <c r="D429" s="1" t="s">
        <v>15</v>
      </c>
      <c r="E429" s="1" t="s">
        <v>29</v>
      </c>
      <c r="F429" s="1" t="s">
        <v>35</v>
      </c>
      <c r="G429" s="1" t="s">
        <v>32</v>
      </c>
      <c r="H429" s="1">
        <v>2</v>
      </c>
      <c r="I429" s="1">
        <v>2663.86</v>
      </c>
      <c r="J429" s="1">
        <v>4262.18</v>
      </c>
    </row>
    <row r="430" spans="1:10" x14ac:dyDescent="0.3">
      <c r="A430" s="1">
        <v>10429</v>
      </c>
      <c r="B430" s="1">
        <v>1639</v>
      </c>
      <c r="C430" s="2">
        <v>45290</v>
      </c>
      <c r="D430" s="1" t="s">
        <v>31</v>
      </c>
      <c r="E430" s="1" t="s">
        <v>12</v>
      </c>
      <c r="F430" s="1" t="s">
        <v>38</v>
      </c>
      <c r="G430" s="1" t="s">
        <v>20</v>
      </c>
      <c r="H430" s="1">
        <v>3</v>
      </c>
      <c r="I430" s="1">
        <v>742.59</v>
      </c>
      <c r="J430" s="1">
        <v>2004.99</v>
      </c>
    </row>
    <row r="431" spans="1:10" x14ac:dyDescent="0.3">
      <c r="A431" s="1">
        <v>10430</v>
      </c>
      <c r="B431" s="1">
        <v>1032</v>
      </c>
      <c r="C431" s="2">
        <v>45290</v>
      </c>
      <c r="D431" s="1" t="s">
        <v>31</v>
      </c>
      <c r="E431" s="1" t="s">
        <v>16</v>
      </c>
      <c r="F431" s="1" t="s">
        <v>50</v>
      </c>
      <c r="G431" s="1" t="s">
        <v>20</v>
      </c>
      <c r="H431" s="1">
        <v>8</v>
      </c>
      <c r="I431" s="1">
        <v>3911.57</v>
      </c>
      <c r="J431" s="1">
        <v>28163.3</v>
      </c>
    </row>
    <row r="432" spans="1:10" x14ac:dyDescent="0.3">
      <c r="A432" s="1">
        <v>10431</v>
      </c>
      <c r="B432" s="1">
        <v>1687</v>
      </c>
      <c r="C432" s="2">
        <v>45139</v>
      </c>
      <c r="D432" s="1" t="s">
        <v>31</v>
      </c>
      <c r="E432" s="1" t="s">
        <v>22</v>
      </c>
      <c r="F432" s="1" t="s">
        <v>35</v>
      </c>
      <c r="G432" s="1" t="s">
        <v>18</v>
      </c>
      <c r="H432" s="1">
        <v>6</v>
      </c>
      <c r="I432" s="1">
        <v>2247.37</v>
      </c>
      <c r="J432" s="1">
        <v>11461.59</v>
      </c>
    </row>
    <row r="433" spans="1:10" x14ac:dyDescent="0.3">
      <c r="A433" s="1">
        <v>10432</v>
      </c>
      <c r="B433" s="1">
        <v>1459</v>
      </c>
      <c r="C433" s="2">
        <v>45142</v>
      </c>
      <c r="D433" s="1" t="s">
        <v>31</v>
      </c>
      <c r="E433" s="1" t="s">
        <v>12</v>
      </c>
      <c r="F433" s="1" t="s">
        <v>42</v>
      </c>
      <c r="G433" s="1" t="s">
        <v>32</v>
      </c>
      <c r="H433" s="1">
        <v>9</v>
      </c>
      <c r="I433" s="1">
        <v>672.4</v>
      </c>
      <c r="J433" s="1">
        <v>5446.44</v>
      </c>
    </row>
    <row r="434" spans="1:10" x14ac:dyDescent="0.3">
      <c r="A434" s="1">
        <v>10433</v>
      </c>
      <c r="B434" s="1">
        <v>1954</v>
      </c>
      <c r="C434" s="2">
        <v>45152</v>
      </c>
      <c r="D434" s="1" t="s">
        <v>10</v>
      </c>
      <c r="E434" s="1" t="s">
        <v>12</v>
      </c>
      <c r="F434" s="1" t="s">
        <v>35</v>
      </c>
      <c r="G434" s="1" t="s">
        <v>20</v>
      </c>
      <c r="H434" s="1">
        <v>4</v>
      </c>
      <c r="I434" s="1">
        <v>3590.5</v>
      </c>
      <c r="J434" s="1">
        <v>14362</v>
      </c>
    </row>
    <row r="435" spans="1:10" x14ac:dyDescent="0.3">
      <c r="A435" s="1">
        <v>10434</v>
      </c>
      <c r="B435" s="1">
        <v>1882</v>
      </c>
      <c r="C435" s="2">
        <v>45057</v>
      </c>
      <c r="D435" s="1" t="s">
        <v>31</v>
      </c>
      <c r="E435" s="1" t="s">
        <v>16</v>
      </c>
      <c r="F435" s="1" t="s">
        <v>13</v>
      </c>
      <c r="G435" s="1" t="s">
        <v>30</v>
      </c>
      <c r="H435" s="1">
        <v>8</v>
      </c>
      <c r="I435" s="1">
        <v>437.36</v>
      </c>
      <c r="J435" s="1">
        <v>2799.1</v>
      </c>
    </row>
    <row r="436" spans="1:10" x14ac:dyDescent="0.3">
      <c r="A436" s="1">
        <v>10435</v>
      </c>
      <c r="B436" s="1">
        <v>1469</v>
      </c>
      <c r="C436" s="2">
        <v>45002</v>
      </c>
      <c r="D436" s="1" t="s">
        <v>10</v>
      </c>
      <c r="E436" s="1" t="s">
        <v>29</v>
      </c>
      <c r="F436" s="1" t="s">
        <v>38</v>
      </c>
      <c r="G436" s="1" t="s">
        <v>14</v>
      </c>
      <c r="H436" s="1">
        <v>3</v>
      </c>
      <c r="I436" s="1">
        <v>3644.78</v>
      </c>
      <c r="J436" s="1">
        <v>10934.34</v>
      </c>
    </row>
    <row r="437" spans="1:10" x14ac:dyDescent="0.3">
      <c r="A437" s="1">
        <v>10436</v>
      </c>
      <c r="B437" s="1">
        <v>1374</v>
      </c>
      <c r="C437" s="2">
        <v>45212</v>
      </c>
      <c r="D437" s="1" t="s">
        <v>10</v>
      </c>
      <c r="E437" s="1" t="s">
        <v>12</v>
      </c>
      <c r="F437" s="1" t="s">
        <v>41</v>
      </c>
      <c r="G437" s="1" t="s">
        <v>14</v>
      </c>
      <c r="H437" s="1">
        <v>3</v>
      </c>
      <c r="I437" s="1">
        <v>3986.78</v>
      </c>
      <c r="J437" s="1">
        <v>9568.27</v>
      </c>
    </row>
    <row r="438" spans="1:10" x14ac:dyDescent="0.3">
      <c r="A438" s="1">
        <v>10437</v>
      </c>
      <c r="B438" s="1">
        <v>1021</v>
      </c>
      <c r="C438" s="2">
        <v>45203</v>
      </c>
      <c r="D438" s="1" t="s">
        <v>15</v>
      </c>
      <c r="E438" s="1" t="s">
        <v>22</v>
      </c>
      <c r="F438" s="1" t="s">
        <v>43</v>
      </c>
      <c r="G438" s="1" t="s">
        <v>14</v>
      </c>
      <c r="H438" s="1">
        <v>8</v>
      </c>
      <c r="I438" s="1">
        <v>2846.66</v>
      </c>
      <c r="J438" s="1">
        <v>19357.29</v>
      </c>
    </row>
    <row r="439" spans="1:10" x14ac:dyDescent="0.3">
      <c r="A439" s="1">
        <v>10438</v>
      </c>
      <c r="B439" s="1">
        <v>1749</v>
      </c>
      <c r="C439" s="2">
        <v>45082</v>
      </c>
      <c r="D439" s="1" t="s">
        <v>31</v>
      </c>
      <c r="E439" s="1" t="s">
        <v>12</v>
      </c>
      <c r="F439" s="1" t="s">
        <v>42</v>
      </c>
      <c r="G439" s="1" t="s">
        <v>32</v>
      </c>
      <c r="H439" s="1">
        <v>5</v>
      </c>
      <c r="I439" s="1">
        <v>3116.22</v>
      </c>
      <c r="J439" s="1">
        <v>14022.99</v>
      </c>
    </row>
    <row r="440" spans="1:10" x14ac:dyDescent="0.3">
      <c r="A440" s="1">
        <v>10439</v>
      </c>
      <c r="B440" s="1">
        <v>1669</v>
      </c>
      <c r="C440" s="2">
        <v>45174</v>
      </c>
      <c r="D440" s="1" t="s">
        <v>21</v>
      </c>
      <c r="E440" s="1" t="s">
        <v>22</v>
      </c>
      <c r="F440" s="1" t="s">
        <v>35</v>
      </c>
      <c r="G440" s="1" t="s">
        <v>18</v>
      </c>
      <c r="H440" s="1">
        <v>3</v>
      </c>
      <c r="I440" s="1">
        <v>1448.62</v>
      </c>
      <c r="J440" s="1">
        <v>3911.27</v>
      </c>
    </row>
    <row r="441" spans="1:10" x14ac:dyDescent="0.3">
      <c r="A441" s="1">
        <v>10440</v>
      </c>
      <c r="B441" s="1">
        <v>1037</v>
      </c>
      <c r="C441" s="2">
        <v>45144</v>
      </c>
      <c r="D441" s="1" t="s">
        <v>24</v>
      </c>
      <c r="E441" s="1" t="s">
        <v>27</v>
      </c>
      <c r="F441" s="1" t="s">
        <v>34</v>
      </c>
      <c r="G441" s="1" t="s">
        <v>20</v>
      </c>
      <c r="H441" s="1">
        <v>1</v>
      </c>
      <c r="I441" s="1">
        <v>3775.07</v>
      </c>
      <c r="J441" s="1">
        <v>3397.56</v>
      </c>
    </row>
    <row r="442" spans="1:10" x14ac:dyDescent="0.3">
      <c r="A442" s="1">
        <v>10441</v>
      </c>
      <c r="B442" s="1">
        <v>1229</v>
      </c>
      <c r="C442" s="2">
        <v>45116</v>
      </c>
      <c r="D442" s="1" t="s">
        <v>11</v>
      </c>
      <c r="E442" s="1" t="s">
        <v>27</v>
      </c>
      <c r="F442" s="1" t="s">
        <v>46</v>
      </c>
      <c r="G442" s="1" t="s">
        <v>30</v>
      </c>
      <c r="H442" s="1">
        <v>3</v>
      </c>
      <c r="I442" s="1">
        <v>2189.4</v>
      </c>
      <c r="J442" s="1">
        <v>5254.56</v>
      </c>
    </row>
    <row r="443" spans="1:10" x14ac:dyDescent="0.3">
      <c r="A443" s="1">
        <v>10442</v>
      </c>
      <c r="B443" s="1">
        <v>1364</v>
      </c>
      <c r="C443" s="2">
        <v>45089</v>
      </c>
      <c r="D443" s="1" t="s">
        <v>10</v>
      </c>
      <c r="E443" s="1" t="s">
        <v>22</v>
      </c>
      <c r="F443" s="1" t="s">
        <v>39</v>
      </c>
      <c r="G443" s="1" t="s">
        <v>30</v>
      </c>
      <c r="H443" s="1">
        <v>9</v>
      </c>
      <c r="I443" s="1">
        <v>2969.7</v>
      </c>
      <c r="J443" s="1">
        <v>24054.57</v>
      </c>
    </row>
    <row r="444" spans="1:10" x14ac:dyDescent="0.3">
      <c r="A444" s="1">
        <v>10443</v>
      </c>
      <c r="B444" s="1">
        <v>1562</v>
      </c>
      <c r="C444" s="2">
        <v>45106</v>
      </c>
      <c r="D444" s="1" t="s">
        <v>26</v>
      </c>
      <c r="E444" s="1" t="s">
        <v>29</v>
      </c>
      <c r="F444" s="1" t="s">
        <v>46</v>
      </c>
      <c r="G444" s="1" t="s">
        <v>32</v>
      </c>
      <c r="H444" s="1">
        <v>5</v>
      </c>
      <c r="I444" s="1">
        <v>3707.81</v>
      </c>
      <c r="J444" s="1">
        <v>18539.05</v>
      </c>
    </row>
    <row r="445" spans="1:10" x14ac:dyDescent="0.3">
      <c r="A445" s="1">
        <v>10444</v>
      </c>
      <c r="B445" s="1">
        <v>1437</v>
      </c>
      <c r="C445" s="2">
        <v>44960</v>
      </c>
      <c r="D445" s="1" t="s">
        <v>26</v>
      </c>
      <c r="E445" s="1" t="s">
        <v>12</v>
      </c>
      <c r="F445" s="1" t="s">
        <v>19</v>
      </c>
      <c r="G445" s="1" t="s">
        <v>14</v>
      </c>
      <c r="H445" s="1">
        <v>2</v>
      </c>
      <c r="I445" s="1">
        <v>3904.44</v>
      </c>
      <c r="J445" s="1">
        <v>7027.99</v>
      </c>
    </row>
    <row r="446" spans="1:10" x14ac:dyDescent="0.3">
      <c r="A446" s="1">
        <v>10445</v>
      </c>
      <c r="B446" s="1">
        <v>1775</v>
      </c>
      <c r="C446" s="2">
        <v>44967</v>
      </c>
      <c r="D446" s="1" t="s">
        <v>24</v>
      </c>
      <c r="E446" s="1" t="s">
        <v>12</v>
      </c>
      <c r="F446" s="1" t="s">
        <v>33</v>
      </c>
      <c r="G446" s="1" t="s">
        <v>32</v>
      </c>
      <c r="H446" s="1">
        <v>7</v>
      </c>
      <c r="I446" s="1">
        <v>3357.84</v>
      </c>
      <c r="J446" s="1">
        <v>19979.150000000001</v>
      </c>
    </row>
    <row r="447" spans="1:10" x14ac:dyDescent="0.3">
      <c r="A447" s="1">
        <v>10446</v>
      </c>
      <c r="B447" s="1">
        <v>1282</v>
      </c>
      <c r="C447" s="2">
        <v>45233</v>
      </c>
      <c r="D447" s="1" t="s">
        <v>26</v>
      </c>
      <c r="E447" s="1" t="s">
        <v>27</v>
      </c>
      <c r="F447" s="1" t="s">
        <v>17</v>
      </c>
      <c r="G447" s="1" t="s">
        <v>18</v>
      </c>
      <c r="H447" s="1">
        <v>2</v>
      </c>
      <c r="I447" s="1">
        <v>1316.62</v>
      </c>
      <c r="J447" s="1">
        <v>2633.24</v>
      </c>
    </row>
    <row r="448" spans="1:10" x14ac:dyDescent="0.3">
      <c r="A448" s="1">
        <v>10447</v>
      </c>
      <c r="B448" s="1">
        <v>1026</v>
      </c>
      <c r="C448" s="2">
        <v>45264</v>
      </c>
      <c r="D448" s="1" t="s">
        <v>21</v>
      </c>
      <c r="E448" s="1" t="s">
        <v>22</v>
      </c>
      <c r="F448" s="1" t="s">
        <v>50</v>
      </c>
      <c r="G448" s="1" t="s">
        <v>18</v>
      </c>
      <c r="H448" s="1">
        <v>4</v>
      </c>
      <c r="I448" s="1">
        <v>3871.21</v>
      </c>
      <c r="J448" s="1">
        <v>13936.36</v>
      </c>
    </row>
    <row r="449" spans="1:10" x14ac:dyDescent="0.3">
      <c r="A449" s="1">
        <v>10448</v>
      </c>
      <c r="B449" s="1">
        <v>1225</v>
      </c>
      <c r="C449" s="2">
        <v>45240</v>
      </c>
      <c r="D449" s="1" t="s">
        <v>26</v>
      </c>
      <c r="E449" s="1" t="s">
        <v>12</v>
      </c>
      <c r="F449" s="1" t="s">
        <v>13</v>
      </c>
      <c r="G449" s="1" t="s">
        <v>20</v>
      </c>
      <c r="H449" s="1">
        <v>7</v>
      </c>
      <c r="I449" s="1">
        <v>2568.2600000000002</v>
      </c>
      <c r="J449" s="1">
        <v>16180.04</v>
      </c>
    </row>
    <row r="450" spans="1:10" x14ac:dyDescent="0.3">
      <c r="A450" s="1">
        <v>10449</v>
      </c>
      <c r="B450" s="1">
        <v>1276</v>
      </c>
      <c r="C450" s="2">
        <v>45001</v>
      </c>
      <c r="D450" s="1" t="s">
        <v>11</v>
      </c>
      <c r="E450" s="1" t="s">
        <v>12</v>
      </c>
      <c r="F450" s="1" t="s">
        <v>47</v>
      </c>
      <c r="G450" s="1" t="s">
        <v>20</v>
      </c>
      <c r="H450" s="1">
        <v>4</v>
      </c>
      <c r="I450" s="1">
        <v>3732.97</v>
      </c>
      <c r="J450" s="1">
        <v>14185.29</v>
      </c>
    </row>
    <row r="451" spans="1:10" x14ac:dyDescent="0.3">
      <c r="A451" s="1">
        <v>10450</v>
      </c>
      <c r="B451" s="1">
        <v>1797</v>
      </c>
      <c r="C451" s="2">
        <v>45205</v>
      </c>
      <c r="D451" s="1" t="s">
        <v>11</v>
      </c>
      <c r="E451" s="1" t="s">
        <v>29</v>
      </c>
      <c r="F451" s="1" t="s">
        <v>19</v>
      </c>
      <c r="G451" s="1" t="s">
        <v>18</v>
      </c>
      <c r="H451" s="1">
        <v>7</v>
      </c>
      <c r="I451" s="1">
        <v>2753</v>
      </c>
      <c r="J451" s="1">
        <v>15416.8</v>
      </c>
    </row>
    <row r="452" spans="1:10" x14ac:dyDescent="0.3">
      <c r="A452" s="1">
        <v>10451</v>
      </c>
      <c r="B452" s="1">
        <v>1608</v>
      </c>
      <c r="C452" s="2">
        <v>45102</v>
      </c>
      <c r="D452" s="1" t="s">
        <v>10</v>
      </c>
      <c r="E452" s="1" t="s">
        <v>16</v>
      </c>
      <c r="F452" s="1" t="s">
        <v>40</v>
      </c>
      <c r="G452" s="1" t="s">
        <v>18</v>
      </c>
      <c r="H452" s="1">
        <v>7</v>
      </c>
      <c r="I452" s="1">
        <v>1332.87</v>
      </c>
      <c r="J452" s="1">
        <v>9330.09</v>
      </c>
    </row>
    <row r="453" spans="1:10" x14ac:dyDescent="0.3">
      <c r="A453" s="1">
        <v>10452</v>
      </c>
      <c r="B453" s="1">
        <v>1283</v>
      </c>
      <c r="C453" s="2">
        <v>45076</v>
      </c>
      <c r="D453" s="1" t="s">
        <v>31</v>
      </c>
      <c r="E453" s="1" t="s">
        <v>27</v>
      </c>
      <c r="F453" s="1" t="s">
        <v>49</v>
      </c>
      <c r="G453" s="1" t="s">
        <v>18</v>
      </c>
      <c r="H453" s="1">
        <v>1</v>
      </c>
      <c r="I453" s="1">
        <v>1574.59</v>
      </c>
      <c r="J453" s="1">
        <v>1495.86</v>
      </c>
    </row>
    <row r="454" spans="1:10" x14ac:dyDescent="0.3">
      <c r="A454" s="1">
        <v>10453</v>
      </c>
      <c r="B454" s="1">
        <v>1878</v>
      </c>
      <c r="C454" s="2">
        <v>45199</v>
      </c>
      <c r="D454" s="1" t="s">
        <v>15</v>
      </c>
      <c r="E454" s="1" t="s">
        <v>27</v>
      </c>
      <c r="F454" s="1" t="s">
        <v>17</v>
      </c>
      <c r="G454" s="1" t="s">
        <v>32</v>
      </c>
      <c r="H454" s="1">
        <v>6</v>
      </c>
      <c r="I454" s="1">
        <v>2269.3200000000002</v>
      </c>
      <c r="J454" s="1">
        <v>11573.53</v>
      </c>
    </row>
    <row r="455" spans="1:10" x14ac:dyDescent="0.3">
      <c r="A455" s="1">
        <v>10454</v>
      </c>
      <c r="B455" s="1">
        <v>1959</v>
      </c>
      <c r="C455" s="2">
        <v>45251</v>
      </c>
      <c r="D455" s="1" t="s">
        <v>21</v>
      </c>
      <c r="E455" s="1" t="s">
        <v>16</v>
      </c>
      <c r="F455" s="1" t="s">
        <v>39</v>
      </c>
      <c r="G455" s="1" t="s">
        <v>18</v>
      </c>
      <c r="H455" s="1">
        <v>9</v>
      </c>
      <c r="I455" s="1">
        <v>3191.56</v>
      </c>
      <c r="J455" s="1">
        <v>22979.23</v>
      </c>
    </row>
    <row r="456" spans="1:10" x14ac:dyDescent="0.3">
      <c r="A456" s="1">
        <v>10455</v>
      </c>
      <c r="B456" s="1">
        <v>1480</v>
      </c>
      <c r="C456" s="2">
        <v>45034</v>
      </c>
      <c r="D456" s="1" t="s">
        <v>10</v>
      </c>
      <c r="E456" s="1" t="s">
        <v>12</v>
      </c>
      <c r="F456" s="1" t="s">
        <v>45</v>
      </c>
      <c r="G456" s="1" t="s">
        <v>30</v>
      </c>
      <c r="H456" s="1">
        <v>2</v>
      </c>
      <c r="I456" s="1">
        <v>1374.23</v>
      </c>
      <c r="J456" s="1">
        <v>2748.46</v>
      </c>
    </row>
    <row r="457" spans="1:10" x14ac:dyDescent="0.3">
      <c r="A457" s="1">
        <v>10456</v>
      </c>
      <c r="B457" s="1">
        <v>1452</v>
      </c>
      <c r="C457" s="2">
        <v>45065</v>
      </c>
      <c r="D457" s="1" t="s">
        <v>21</v>
      </c>
      <c r="E457" s="1" t="s">
        <v>29</v>
      </c>
      <c r="F457" s="1" t="s">
        <v>17</v>
      </c>
      <c r="G457" s="1" t="s">
        <v>14</v>
      </c>
      <c r="H457" s="1">
        <v>3</v>
      </c>
      <c r="I457" s="1">
        <v>2381.96</v>
      </c>
      <c r="J457" s="1">
        <v>6431.29</v>
      </c>
    </row>
    <row r="458" spans="1:10" x14ac:dyDescent="0.3">
      <c r="A458" s="1">
        <v>10457</v>
      </c>
      <c r="B458" s="1">
        <v>1828</v>
      </c>
      <c r="C458" s="2">
        <v>45276</v>
      </c>
      <c r="D458" s="1" t="s">
        <v>31</v>
      </c>
      <c r="E458" s="1" t="s">
        <v>29</v>
      </c>
      <c r="F458" s="1" t="s">
        <v>17</v>
      </c>
      <c r="G458" s="1" t="s">
        <v>18</v>
      </c>
      <c r="H458" s="1">
        <v>5</v>
      </c>
      <c r="I458" s="1">
        <v>1480.66</v>
      </c>
      <c r="J458" s="1">
        <v>7403.3</v>
      </c>
    </row>
    <row r="459" spans="1:10" x14ac:dyDescent="0.3">
      <c r="A459" s="1">
        <v>10458</v>
      </c>
      <c r="B459" s="1">
        <v>1815</v>
      </c>
      <c r="C459" s="2">
        <v>45197</v>
      </c>
      <c r="D459" s="1" t="s">
        <v>26</v>
      </c>
      <c r="E459" s="1" t="s">
        <v>27</v>
      </c>
      <c r="F459" s="1" t="s">
        <v>37</v>
      </c>
      <c r="G459" s="1" t="s">
        <v>14</v>
      </c>
      <c r="H459" s="1">
        <v>9</v>
      </c>
      <c r="I459" s="1">
        <v>3290.71</v>
      </c>
      <c r="J459" s="1">
        <v>26654.75</v>
      </c>
    </row>
    <row r="460" spans="1:10" x14ac:dyDescent="0.3">
      <c r="A460" s="1">
        <v>10459</v>
      </c>
      <c r="B460" s="1">
        <v>1658</v>
      </c>
      <c r="C460" s="2">
        <v>45273</v>
      </c>
      <c r="D460" s="1" t="s">
        <v>26</v>
      </c>
      <c r="E460" s="1" t="s">
        <v>29</v>
      </c>
      <c r="F460" s="1" t="s">
        <v>44</v>
      </c>
      <c r="G460" s="1" t="s">
        <v>32</v>
      </c>
      <c r="H460" s="1">
        <v>4</v>
      </c>
      <c r="I460" s="1">
        <v>1946.9</v>
      </c>
      <c r="J460" s="1">
        <v>6230.08</v>
      </c>
    </row>
    <row r="461" spans="1:10" x14ac:dyDescent="0.3">
      <c r="A461" s="1">
        <v>10460</v>
      </c>
      <c r="B461" s="1">
        <v>1515</v>
      </c>
      <c r="C461" s="2">
        <v>45215</v>
      </c>
      <c r="D461" s="1" t="s">
        <v>15</v>
      </c>
      <c r="E461" s="1" t="s">
        <v>16</v>
      </c>
      <c r="F461" s="1" t="s">
        <v>34</v>
      </c>
      <c r="G461" s="1" t="s">
        <v>14</v>
      </c>
      <c r="H461" s="1">
        <v>1</v>
      </c>
      <c r="I461" s="1">
        <v>445.38</v>
      </c>
      <c r="J461" s="1">
        <v>400.84</v>
      </c>
    </row>
    <row r="462" spans="1:10" x14ac:dyDescent="0.3">
      <c r="A462" s="1">
        <v>10461</v>
      </c>
      <c r="B462" s="1">
        <v>1546</v>
      </c>
      <c r="C462" s="2">
        <v>45138</v>
      </c>
      <c r="D462" s="1" t="s">
        <v>31</v>
      </c>
      <c r="E462" s="1" t="s">
        <v>12</v>
      </c>
      <c r="F462" s="1" t="s">
        <v>45</v>
      </c>
      <c r="G462" s="1" t="s">
        <v>32</v>
      </c>
      <c r="H462" s="1">
        <v>4</v>
      </c>
      <c r="I462" s="1">
        <v>789.3</v>
      </c>
      <c r="J462" s="1">
        <v>2683.62</v>
      </c>
    </row>
    <row r="463" spans="1:10" x14ac:dyDescent="0.3">
      <c r="A463" s="1">
        <v>10462</v>
      </c>
      <c r="B463" s="1">
        <v>1191</v>
      </c>
      <c r="C463" s="2">
        <v>45198</v>
      </c>
      <c r="D463" s="1" t="s">
        <v>10</v>
      </c>
      <c r="E463" s="1" t="s">
        <v>16</v>
      </c>
      <c r="F463" s="1" t="s">
        <v>45</v>
      </c>
      <c r="G463" s="1" t="s">
        <v>30</v>
      </c>
      <c r="H463" s="1">
        <v>6</v>
      </c>
      <c r="I463" s="1">
        <v>385.25</v>
      </c>
      <c r="J463" s="1">
        <v>2080.35</v>
      </c>
    </row>
    <row r="464" spans="1:10" x14ac:dyDescent="0.3">
      <c r="A464" s="1">
        <v>10463</v>
      </c>
      <c r="B464" s="1">
        <v>1048</v>
      </c>
      <c r="C464" s="2">
        <v>44992</v>
      </c>
      <c r="D464" s="1" t="s">
        <v>15</v>
      </c>
      <c r="E464" s="1" t="s">
        <v>22</v>
      </c>
      <c r="F464" s="1" t="s">
        <v>23</v>
      </c>
      <c r="G464" s="1" t="s">
        <v>32</v>
      </c>
      <c r="H464" s="1">
        <v>5</v>
      </c>
      <c r="I464" s="1">
        <v>2072.3200000000002</v>
      </c>
      <c r="J464" s="1">
        <v>8807.36</v>
      </c>
    </row>
    <row r="465" spans="1:10" x14ac:dyDescent="0.3">
      <c r="A465" s="1">
        <v>10464</v>
      </c>
      <c r="B465" s="1">
        <v>1511</v>
      </c>
      <c r="C465" s="2">
        <v>45174</v>
      </c>
      <c r="D465" s="1" t="s">
        <v>31</v>
      </c>
      <c r="E465" s="1" t="s">
        <v>27</v>
      </c>
      <c r="F465" s="1" t="s">
        <v>46</v>
      </c>
      <c r="G465" s="1" t="s">
        <v>32</v>
      </c>
      <c r="H465" s="1">
        <v>1</v>
      </c>
      <c r="I465" s="1">
        <v>559.4</v>
      </c>
      <c r="J465" s="1">
        <v>447.52</v>
      </c>
    </row>
    <row r="466" spans="1:10" x14ac:dyDescent="0.3">
      <c r="A466" s="1">
        <v>10465</v>
      </c>
      <c r="B466" s="1">
        <v>1016</v>
      </c>
      <c r="C466" s="2">
        <v>45082</v>
      </c>
      <c r="D466" s="1" t="s">
        <v>24</v>
      </c>
      <c r="E466" s="1" t="s">
        <v>29</v>
      </c>
      <c r="F466" s="1" t="s">
        <v>28</v>
      </c>
      <c r="G466" s="1" t="s">
        <v>20</v>
      </c>
      <c r="H466" s="1">
        <v>4</v>
      </c>
      <c r="I466" s="1">
        <v>589.44000000000005</v>
      </c>
      <c r="J466" s="1">
        <v>1886.21</v>
      </c>
    </row>
    <row r="467" spans="1:10" x14ac:dyDescent="0.3">
      <c r="A467" s="1">
        <v>10466</v>
      </c>
      <c r="B467" s="1">
        <v>1171</v>
      </c>
      <c r="C467" s="2">
        <v>44973</v>
      </c>
      <c r="D467" s="1" t="s">
        <v>11</v>
      </c>
      <c r="E467" s="1" t="s">
        <v>22</v>
      </c>
      <c r="F467" s="1" t="s">
        <v>28</v>
      </c>
      <c r="G467" s="1" t="s">
        <v>18</v>
      </c>
      <c r="H467" s="1">
        <v>6</v>
      </c>
      <c r="I467" s="1">
        <v>3773.04</v>
      </c>
      <c r="J467" s="1">
        <v>22638.240000000002</v>
      </c>
    </row>
    <row r="468" spans="1:10" x14ac:dyDescent="0.3">
      <c r="A468" s="1">
        <v>10467</v>
      </c>
      <c r="B468" s="1">
        <v>1219</v>
      </c>
      <c r="C468" s="2">
        <v>45127</v>
      </c>
      <c r="D468" s="1" t="s">
        <v>15</v>
      </c>
      <c r="E468" s="1" t="s">
        <v>29</v>
      </c>
      <c r="F468" s="1" t="s">
        <v>50</v>
      </c>
      <c r="G468" s="1" t="s">
        <v>18</v>
      </c>
      <c r="H468" s="1">
        <v>4</v>
      </c>
      <c r="I468" s="1">
        <v>3509.72</v>
      </c>
      <c r="J468" s="1">
        <v>11933.05</v>
      </c>
    </row>
    <row r="469" spans="1:10" x14ac:dyDescent="0.3">
      <c r="A469" s="1">
        <v>10468</v>
      </c>
      <c r="B469" s="1">
        <v>1157</v>
      </c>
      <c r="C469" s="2">
        <v>45074</v>
      </c>
      <c r="D469" s="1" t="s">
        <v>15</v>
      </c>
      <c r="E469" s="1" t="s">
        <v>12</v>
      </c>
      <c r="F469" s="1" t="s">
        <v>40</v>
      </c>
      <c r="G469" s="1" t="s">
        <v>30</v>
      </c>
      <c r="H469" s="1">
        <v>9</v>
      </c>
      <c r="I469" s="1">
        <v>1890.53</v>
      </c>
      <c r="J469" s="1">
        <v>14462.55</v>
      </c>
    </row>
    <row r="470" spans="1:10" x14ac:dyDescent="0.3">
      <c r="A470" s="1">
        <v>10469</v>
      </c>
      <c r="B470" s="1">
        <v>1476</v>
      </c>
      <c r="C470" s="2">
        <v>45050</v>
      </c>
      <c r="D470" s="1" t="s">
        <v>10</v>
      </c>
      <c r="E470" s="1" t="s">
        <v>12</v>
      </c>
      <c r="F470" s="1" t="s">
        <v>33</v>
      </c>
      <c r="G470" s="1" t="s">
        <v>30</v>
      </c>
      <c r="H470" s="1">
        <v>5</v>
      </c>
      <c r="I470" s="1">
        <v>3945.35</v>
      </c>
      <c r="J470" s="1">
        <v>18740.41</v>
      </c>
    </row>
    <row r="471" spans="1:10" x14ac:dyDescent="0.3">
      <c r="A471" s="1">
        <v>10470</v>
      </c>
      <c r="B471" s="1">
        <v>1045</v>
      </c>
      <c r="C471" s="2">
        <v>44927</v>
      </c>
      <c r="D471" s="1" t="s">
        <v>21</v>
      </c>
      <c r="E471" s="1" t="s">
        <v>12</v>
      </c>
      <c r="F471" s="1" t="s">
        <v>23</v>
      </c>
      <c r="G471" s="1" t="s">
        <v>18</v>
      </c>
      <c r="H471" s="1">
        <v>8</v>
      </c>
      <c r="I471" s="1">
        <v>150.72</v>
      </c>
      <c r="J471" s="1">
        <v>1145.47</v>
      </c>
    </row>
    <row r="472" spans="1:10" x14ac:dyDescent="0.3">
      <c r="A472" s="1">
        <v>10471</v>
      </c>
      <c r="B472" s="1">
        <v>1372</v>
      </c>
      <c r="C472" s="2">
        <v>45173</v>
      </c>
      <c r="D472" s="1" t="s">
        <v>24</v>
      </c>
      <c r="E472" s="1" t="s">
        <v>29</v>
      </c>
      <c r="F472" s="1" t="s">
        <v>33</v>
      </c>
      <c r="G472" s="1" t="s">
        <v>20</v>
      </c>
      <c r="H472" s="1">
        <v>9</v>
      </c>
      <c r="I472" s="1">
        <v>2513.8200000000002</v>
      </c>
      <c r="J472" s="1">
        <v>21493.16</v>
      </c>
    </row>
    <row r="473" spans="1:10" x14ac:dyDescent="0.3">
      <c r="A473" s="1">
        <v>10472</v>
      </c>
      <c r="B473" s="1">
        <v>1517</v>
      </c>
      <c r="C473" s="2">
        <v>45269</v>
      </c>
      <c r="D473" s="1" t="s">
        <v>10</v>
      </c>
      <c r="E473" s="1" t="s">
        <v>22</v>
      </c>
      <c r="F473" s="1" t="s">
        <v>33</v>
      </c>
      <c r="G473" s="1" t="s">
        <v>18</v>
      </c>
      <c r="H473" s="1">
        <v>5</v>
      </c>
      <c r="I473" s="1">
        <v>2523.25</v>
      </c>
      <c r="J473" s="1">
        <v>11354.63</v>
      </c>
    </row>
    <row r="474" spans="1:10" x14ac:dyDescent="0.3">
      <c r="A474" s="1">
        <v>10473</v>
      </c>
      <c r="B474" s="1">
        <v>1098</v>
      </c>
      <c r="C474" s="2">
        <v>45054</v>
      </c>
      <c r="D474" s="1" t="s">
        <v>31</v>
      </c>
      <c r="E474" s="1" t="s">
        <v>12</v>
      </c>
      <c r="F474" s="1" t="s">
        <v>33</v>
      </c>
      <c r="G474" s="1" t="s">
        <v>20</v>
      </c>
      <c r="H474" s="1">
        <v>6</v>
      </c>
      <c r="I474" s="1">
        <v>1911.16</v>
      </c>
      <c r="J474" s="1">
        <v>10893.61</v>
      </c>
    </row>
    <row r="475" spans="1:10" x14ac:dyDescent="0.3">
      <c r="A475" s="1">
        <v>10474</v>
      </c>
      <c r="B475" s="1">
        <v>1891</v>
      </c>
      <c r="C475" s="2">
        <v>45117</v>
      </c>
      <c r="D475" s="1" t="s">
        <v>31</v>
      </c>
      <c r="E475" s="1" t="s">
        <v>22</v>
      </c>
      <c r="F475" s="1" t="s">
        <v>17</v>
      </c>
      <c r="G475" s="1" t="s">
        <v>30</v>
      </c>
      <c r="H475" s="1">
        <v>1</v>
      </c>
      <c r="I475" s="1">
        <v>1678.25</v>
      </c>
      <c r="J475" s="1">
        <v>1426.51</v>
      </c>
    </row>
    <row r="476" spans="1:10" x14ac:dyDescent="0.3">
      <c r="A476" s="1">
        <v>10475</v>
      </c>
      <c r="B476" s="1">
        <v>1744</v>
      </c>
      <c r="C476" s="2">
        <v>44993</v>
      </c>
      <c r="D476" s="1" t="s">
        <v>31</v>
      </c>
      <c r="E476" s="1" t="s">
        <v>29</v>
      </c>
      <c r="F476" s="1" t="s">
        <v>37</v>
      </c>
      <c r="G476" s="1" t="s">
        <v>14</v>
      </c>
      <c r="H476" s="1">
        <v>7</v>
      </c>
      <c r="I476" s="1">
        <v>1903.23</v>
      </c>
      <c r="J476" s="1">
        <v>11990.35</v>
      </c>
    </row>
    <row r="477" spans="1:10" x14ac:dyDescent="0.3">
      <c r="A477" s="1">
        <v>10476</v>
      </c>
      <c r="B477" s="1">
        <v>1036</v>
      </c>
      <c r="C477" s="2">
        <v>44930</v>
      </c>
      <c r="D477" s="1" t="s">
        <v>31</v>
      </c>
      <c r="E477" s="1" t="s">
        <v>22</v>
      </c>
      <c r="F477" s="1" t="s">
        <v>13</v>
      </c>
      <c r="G477" s="1" t="s">
        <v>30</v>
      </c>
      <c r="H477" s="1">
        <v>4</v>
      </c>
      <c r="I477" s="1">
        <v>1747.6</v>
      </c>
      <c r="J477" s="1">
        <v>5592.32</v>
      </c>
    </row>
    <row r="478" spans="1:10" x14ac:dyDescent="0.3">
      <c r="A478" s="1">
        <v>10477</v>
      </c>
      <c r="B478" s="1">
        <v>1279</v>
      </c>
      <c r="C478" s="2">
        <v>45229</v>
      </c>
      <c r="D478" s="1" t="s">
        <v>21</v>
      </c>
      <c r="E478" s="1" t="s">
        <v>29</v>
      </c>
      <c r="F478" s="1" t="s">
        <v>33</v>
      </c>
      <c r="G478" s="1" t="s">
        <v>30</v>
      </c>
      <c r="H478" s="1">
        <v>2</v>
      </c>
      <c r="I478" s="1">
        <v>2962.4</v>
      </c>
      <c r="J478" s="1">
        <v>5924.8</v>
      </c>
    </row>
    <row r="479" spans="1:10" x14ac:dyDescent="0.3">
      <c r="A479" s="1">
        <v>10478</v>
      </c>
      <c r="B479" s="1">
        <v>1348</v>
      </c>
      <c r="C479" s="2">
        <v>45220</v>
      </c>
      <c r="D479" s="1" t="s">
        <v>24</v>
      </c>
      <c r="E479" s="1" t="s">
        <v>29</v>
      </c>
      <c r="F479" s="1" t="s">
        <v>43</v>
      </c>
      <c r="G479" s="1" t="s">
        <v>32</v>
      </c>
      <c r="H479" s="1">
        <v>5</v>
      </c>
      <c r="I479" s="1">
        <v>671.12</v>
      </c>
      <c r="J479" s="1">
        <v>3187.82</v>
      </c>
    </row>
    <row r="480" spans="1:10" x14ac:dyDescent="0.3">
      <c r="A480" s="1">
        <v>10479</v>
      </c>
      <c r="B480" s="1">
        <v>1496</v>
      </c>
      <c r="C480" s="2">
        <v>45069</v>
      </c>
      <c r="D480" s="1" t="s">
        <v>26</v>
      </c>
      <c r="E480" s="1" t="s">
        <v>27</v>
      </c>
      <c r="F480" s="1" t="s">
        <v>49</v>
      </c>
      <c r="G480" s="1" t="s">
        <v>32</v>
      </c>
      <c r="H480" s="1">
        <v>3</v>
      </c>
      <c r="I480" s="1">
        <v>910.91</v>
      </c>
      <c r="J480" s="1">
        <v>2186.1799999999998</v>
      </c>
    </row>
    <row r="481" spans="1:10" x14ac:dyDescent="0.3">
      <c r="A481" s="1">
        <v>10480</v>
      </c>
      <c r="B481" s="1">
        <v>1301</v>
      </c>
      <c r="C481" s="2">
        <v>45117</v>
      </c>
      <c r="D481" s="1" t="s">
        <v>11</v>
      </c>
      <c r="E481" s="1" t="s">
        <v>29</v>
      </c>
      <c r="F481" s="1" t="s">
        <v>23</v>
      </c>
      <c r="G481" s="1" t="s">
        <v>32</v>
      </c>
      <c r="H481" s="1">
        <v>6</v>
      </c>
      <c r="I481" s="1">
        <v>845</v>
      </c>
      <c r="J481" s="1">
        <v>4309.5</v>
      </c>
    </row>
    <row r="482" spans="1:10" x14ac:dyDescent="0.3">
      <c r="A482" s="1">
        <v>10481</v>
      </c>
      <c r="B482" s="1">
        <v>1180</v>
      </c>
      <c r="C482" s="2">
        <v>44947</v>
      </c>
      <c r="D482" s="1" t="s">
        <v>21</v>
      </c>
      <c r="E482" s="1" t="s">
        <v>29</v>
      </c>
      <c r="F482" s="1" t="s">
        <v>34</v>
      </c>
      <c r="G482" s="1" t="s">
        <v>32</v>
      </c>
      <c r="H482" s="1">
        <v>8</v>
      </c>
      <c r="I482" s="1">
        <v>1160.51</v>
      </c>
      <c r="J482" s="1">
        <v>9284.08</v>
      </c>
    </row>
    <row r="483" spans="1:10" x14ac:dyDescent="0.3">
      <c r="A483" s="1">
        <v>10482</v>
      </c>
      <c r="B483" s="1">
        <v>1606</v>
      </c>
      <c r="C483" s="2">
        <v>45153</v>
      </c>
      <c r="D483" s="1" t="s">
        <v>21</v>
      </c>
      <c r="E483" s="1" t="s">
        <v>16</v>
      </c>
      <c r="F483" s="1" t="s">
        <v>48</v>
      </c>
      <c r="G483" s="1" t="s">
        <v>20</v>
      </c>
      <c r="H483" s="1">
        <v>7</v>
      </c>
      <c r="I483" s="1">
        <v>2172.2399999999998</v>
      </c>
      <c r="J483" s="1">
        <v>12164.54</v>
      </c>
    </row>
    <row r="484" spans="1:10" x14ac:dyDescent="0.3">
      <c r="A484" s="1">
        <v>10483</v>
      </c>
      <c r="B484" s="1">
        <v>1098</v>
      </c>
      <c r="C484" s="2">
        <v>45239</v>
      </c>
      <c r="D484" s="1" t="s">
        <v>26</v>
      </c>
      <c r="E484" s="1" t="s">
        <v>12</v>
      </c>
      <c r="F484" s="1" t="s">
        <v>42</v>
      </c>
      <c r="G484" s="1" t="s">
        <v>18</v>
      </c>
      <c r="H484" s="1">
        <v>3</v>
      </c>
      <c r="I484" s="1">
        <v>578.15</v>
      </c>
      <c r="J484" s="1">
        <v>1734.45</v>
      </c>
    </row>
    <row r="485" spans="1:10" x14ac:dyDescent="0.3">
      <c r="A485" s="1">
        <v>10484</v>
      </c>
      <c r="B485" s="1">
        <v>1699</v>
      </c>
      <c r="C485" s="2">
        <v>45043</v>
      </c>
      <c r="D485" s="1" t="s">
        <v>26</v>
      </c>
      <c r="E485" s="1" t="s">
        <v>27</v>
      </c>
      <c r="F485" s="1" t="s">
        <v>46</v>
      </c>
      <c r="G485" s="1" t="s">
        <v>14</v>
      </c>
      <c r="H485" s="1">
        <v>8</v>
      </c>
      <c r="I485" s="1">
        <v>3492.45</v>
      </c>
      <c r="J485" s="1">
        <v>26542.62</v>
      </c>
    </row>
    <row r="486" spans="1:10" x14ac:dyDescent="0.3">
      <c r="A486" s="1">
        <v>10485</v>
      </c>
      <c r="B486" s="1">
        <v>1992</v>
      </c>
      <c r="C486" s="2">
        <v>45228</v>
      </c>
      <c r="D486" s="1" t="s">
        <v>11</v>
      </c>
      <c r="E486" s="1" t="s">
        <v>27</v>
      </c>
      <c r="F486" s="1" t="s">
        <v>28</v>
      </c>
      <c r="G486" s="1" t="s">
        <v>30</v>
      </c>
      <c r="H486" s="1">
        <v>2</v>
      </c>
      <c r="I486" s="1">
        <v>1294.8399999999999</v>
      </c>
      <c r="J486" s="1">
        <v>2201.23</v>
      </c>
    </row>
    <row r="487" spans="1:10" x14ac:dyDescent="0.3">
      <c r="A487" s="1">
        <v>10486</v>
      </c>
      <c r="B487" s="1">
        <v>1115</v>
      </c>
      <c r="C487" s="2">
        <v>45068</v>
      </c>
      <c r="D487" s="1" t="s">
        <v>11</v>
      </c>
      <c r="E487" s="1" t="s">
        <v>27</v>
      </c>
      <c r="F487" s="1" t="s">
        <v>44</v>
      </c>
      <c r="G487" s="1" t="s">
        <v>20</v>
      </c>
      <c r="H487" s="1">
        <v>9</v>
      </c>
      <c r="I487" s="1">
        <v>775.77</v>
      </c>
      <c r="J487" s="1">
        <v>6981.93</v>
      </c>
    </row>
    <row r="488" spans="1:10" x14ac:dyDescent="0.3">
      <c r="A488" s="1">
        <v>10487</v>
      </c>
      <c r="B488" s="1">
        <v>1190</v>
      </c>
      <c r="C488" s="2">
        <v>44965</v>
      </c>
      <c r="D488" s="1" t="s">
        <v>26</v>
      </c>
      <c r="E488" s="1" t="s">
        <v>16</v>
      </c>
      <c r="F488" s="1" t="s">
        <v>36</v>
      </c>
      <c r="G488" s="1" t="s">
        <v>14</v>
      </c>
      <c r="H488" s="1">
        <v>4</v>
      </c>
      <c r="I488" s="1">
        <v>2751.14</v>
      </c>
      <c r="J488" s="1">
        <v>8803.65</v>
      </c>
    </row>
    <row r="489" spans="1:10" x14ac:dyDescent="0.3">
      <c r="A489" s="1">
        <v>10488</v>
      </c>
      <c r="B489" s="1">
        <v>1252</v>
      </c>
      <c r="C489" s="2">
        <v>45281</v>
      </c>
      <c r="D489" s="1" t="s">
        <v>31</v>
      </c>
      <c r="E489" s="1" t="s">
        <v>29</v>
      </c>
      <c r="F489" s="1" t="s">
        <v>41</v>
      </c>
      <c r="G489" s="1" t="s">
        <v>20</v>
      </c>
      <c r="H489" s="1">
        <v>1</v>
      </c>
      <c r="I489" s="1">
        <v>296.63</v>
      </c>
      <c r="J489" s="1">
        <v>281.8</v>
      </c>
    </row>
    <row r="490" spans="1:10" x14ac:dyDescent="0.3">
      <c r="A490" s="1">
        <v>10489</v>
      </c>
      <c r="B490" s="1">
        <v>1980</v>
      </c>
      <c r="C490" s="2">
        <v>45178</v>
      </c>
      <c r="D490" s="1" t="s">
        <v>21</v>
      </c>
      <c r="E490" s="1" t="s">
        <v>12</v>
      </c>
      <c r="F490" s="1" t="s">
        <v>43</v>
      </c>
      <c r="G490" s="1" t="s">
        <v>20</v>
      </c>
      <c r="H490" s="1">
        <v>8</v>
      </c>
      <c r="I490" s="1">
        <v>2536.88</v>
      </c>
      <c r="J490" s="1">
        <v>19280.29</v>
      </c>
    </row>
    <row r="491" spans="1:10" x14ac:dyDescent="0.3">
      <c r="A491" s="1">
        <v>10490</v>
      </c>
      <c r="B491" s="1">
        <v>1927</v>
      </c>
      <c r="C491" s="2">
        <v>45259</v>
      </c>
      <c r="D491" s="1" t="s">
        <v>10</v>
      </c>
      <c r="E491" s="1" t="s">
        <v>22</v>
      </c>
      <c r="F491" s="1" t="s">
        <v>19</v>
      </c>
      <c r="G491" s="1" t="s">
        <v>30</v>
      </c>
      <c r="H491" s="1">
        <v>7</v>
      </c>
      <c r="I491" s="1">
        <v>2838.06</v>
      </c>
      <c r="J491" s="1">
        <v>15893.14</v>
      </c>
    </row>
    <row r="492" spans="1:10" x14ac:dyDescent="0.3">
      <c r="A492" s="1">
        <v>10491</v>
      </c>
      <c r="B492" s="1">
        <v>1982</v>
      </c>
      <c r="C492" s="2">
        <v>45133</v>
      </c>
      <c r="D492" s="1" t="s">
        <v>11</v>
      </c>
      <c r="E492" s="1" t="s">
        <v>29</v>
      </c>
      <c r="F492" s="1" t="s">
        <v>44</v>
      </c>
      <c r="G492" s="1" t="s">
        <v>18</v>
      </c>
      <c r="H492" s="1">
        <v>5</v>
      </c>
      <c r="I492" s="1">
        <v>977.43</v>
      </c>
      <c r="J492" s="1">
        <v>3909.72</v>
      </c>
    </row>
    <row r="493" spans="1:10" x14ac:dyDescent="0.3">
      <c r="A493" s="1">
        <v>10492</v>
      </c>
      <c r="B493" s="1">
        <v>1160</v>
      </c>
      <c r="C493" s="2">
        <v>45136</v>
      </c>
      <c r="D493" s="1" t="s">
        <v>11</v>
      </c>
      <c r="E493" s="1" t="s">
        <v>16</v>
      </c>
      <c r="F493" s="1" t="s">
        <v>19</v>
      </c>
      <c r="G493" s="1" t="s">
        <v>32</v>
      </c>
      <c r="H493" s="1">
        <v>5</v>
      </c>
      <c r="I493" s="1">
        <v>311.56</v>
      </c>
      <c r="J493" s="1">
        <v>1557.8</v>
      </c>
    </row>
    <row r="494" spans="1:10" x14ac:dyDescent="0.3">
      <c r="A494" s="1">
        <v>10493</v>
      </c>
      <c r="B494" s="1">
        <v>1255</v>
      </c>
      <c r="C494" s="2">
        <v>45041</v>
      </c>
      <c r="D494" s="1" t="s">
        <v>26</v>
      </c>
      <c r="E494" s="1" t="s">
        <v>29</v>
      </c>
      <c r="F494" s="1" t="s">
        <v>49</v>
      </c>
      <c r="G494" s="1" t="s">
        <v>18</v>
      </c>
      <c r="H494" s="1">
        <v>7</v>
      </c>
      <c r="I494" s="1">
        <v>1550.03</v>
      </c>
      <c r="J494" s="1">
        <v>9765.19</v>
      </c>
    </row>
    <row r="495" spans="1:10" x14ac:dyDescent="0.3">
      <c r="A495" s="1">
        <v>10494</v>
      </c>
      <c r="B495" s="1">
        <v>1322</v>
      </c>
      <c r="C495" s="2">
        <v>45151</v>
      </c>
      <c r="D495" s="1" t="s">
        <v>24</v>
      </c>
      <c r="E495" s="1" t="s">
        <v>29</v>
      </c>
      <c r="F495" s="1" t="s">
        <v>48</v>
      </c>
      <c r="G495" s="1" t="s">
        <v>30</v>
      </c>
      <c r="H495" s="1">
        <v>5</v>
      </c>
      <c r="I495" s="1">
        <v>529.59</v>
      </c>
      <c r="J495" s="1">
        <v>2515.5500000000002</v>
      </c>
    </row>
    <row r="496" spans="1:10" x14ac:dyDescent="0.3">
      <c r="A496" s="1">
        <v>10495</v>
      </c>
      <c r="B496" s="1">
        <v>1127</v>
      </c>
      <c r="C496" s="2">
        <v>45060</v>
      </c>
      <c r="D496" s="1" t="s">
        <v>10</v>
      </c>
      <c r="E496" s="1" t="s">
        <v>16</v>
      </c>
      <c r="F496" s="1" t="s">
        <v>40</v>
      </c>
      <c r="G496" s="1" t="s">
        <v>30</v>
      </c>
      <c r="H496" s="1">
        <v>8</v>
      </c>
      <c r="I496" s="1">
        <v>598.44000000000005</v>
      </c>
      <c r="J496" s="1">
        <v>4787.5200000000004</v>
      </c>
    </row>
    <row r="497" spans="1:10" x14ac:dyDescent="0.3">
      <c r="A497" s="1">
        <v>10496</v>
      </c>
      <c r="B497" s="1">
        <v>1017</v>
      </c>
      <c r="C497" s="2">
        <v>45177</v>
      </c>
      <c r="D497" s="1" t="s">
        <v>10</v>
      </c>
      <c r="E497" s="1" t="s">
        <v>27</v>
      </c>
      <c r="F497" s="1" t="s">
        <v>41</v>
      </c>
      <c r="G497" s="1" t="s">
        <v>30</v>
      </c>
      <c r="H497" s="1">
        <v>6</v>
      </c>
      <c r="I497" s="1">
        <v>1128.9100000000001</v>
      </c>
      <c r="J497" s="1">
        <v>5418.77</v>
      </c>
    </row>
    <row r="498" spans="1:10" x14ac:dyDescent="0.3">
      <c r="A498" s="1">
        <v>10497</v>
      </c>
      <c r="B498" s="1">
        <v>1792</v>
      </c>
      <c r="C498" s="2">
        <v>45145</v>
      </c>
      <c r="D498" s="1" t="s">
        <v>11</v>
      </c>
      <c r="E498" s="1" t="s">
        <v>27</v>
      </c>
      <c r="F498" s="1" t="s">
        <v>25</v>
      </c>
      <c r="G498" s="1" t="s">
        <v>14</v>
      </c>
      <c r="H498" s="1">
        <v>5</v>
      </c>
      <c r="I498" s="1">
        <v>1287.55</v>
      </c>
      <c r="J498" s="1">
        <v>6437.75</v>
      </c>
    </row>
    <row r="499" spans="1:10" x14ac:dyDescent="0.3">
      <c r="A499" s="1">
        <v>10498</v>
      </c>
      <c r="B499" s="1">
        <v>1734</v>
      </c>
      <c r="C499" s="2">
        <v>45017</v>
      </c>
      <c r="D499" s="1" t="s">
        <v>31</v>
      </c>
      <c r="E499" s="1" t="s">
        <v>12</v>
      </c>
      <c r="F499" s="1" t="s">
        <v>23</v>
      </c>
      <c r="G499" s="1" t="s">
        <v>18</v>
      </c>
      <c r="H499" s="1">
        <v>9</v>
      </c>
      <c r="I499" s="1">
        <v>2190.39</v>
      </c>
      <c r="J499" s="1">
        <v>15770.81</v>
      </c>
    </row>
    <row r="500" spans="1:10" x14ac:dyDescent="0.3">
      <c r="A500" s="1">
        <v>10499</v>
      </c>
      <c r="B500" s="1">
        <v>1565</v>
      </c>
      <c r="C500" s="2">
        <v>45280</v>
      </c>
      <c r="D500" s="1" t="s">
        <v>24</v>
      </c>
      <c r="E500" s="1" t="s">
        <v>12</v>
      </c>
      <c r="F500" s="1" t="s">
        <v>41</v>
      </c>
      <c r="G500" s="1" t="s">
        <v>18</v>
      </c>
      <c r="H500" s="1">
        <v>2</v>
      </c>
      <c r="I500" s="1">
        <v>2761.81</v>
      </c>
      <c r="J500" s="1">
        <v>4695.08</v>
      </c>
    </row>
    <row r="501" spans="1:10" x14ac:dyDescent="0.3">
      <c r="A501" s="1">
        <v>10500</v>
      </c>
      <c r="B501" s="1">
        <v>1569</v>
      </c>
      <c r="C501" s="2">
        <v>44972</v>
      </c>
      <c r="D501" s="1" t="s">
        <v>10</v>
      </c>
      <c r="E501" s="1" t="s">
        <v>27</v>
      </c>
      <c r="F501" s="1" t="s">
        <v>46</v>
      </c>
      <c r="G501" s="1" t="s">
        <v>20</v>
      </c>
      <c r="H501" s="1">
        <v>1</v>
      </c>
      <c r="I501" s="1">
        <v>2432.17</v>
      </c>
      <c r="J501" s="1">
        <v>1945.74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CCF9-1920-4D1F-B492-9EFE469FA0DD}">
  <dimension ref="A1:SG22"/>
  <sheetViews>
    <sheetView workbookViewId="0">
      <selection activeCell="A13" sqref="A13:A22"/>
    </sheetView>
  </sheetViews>
  <sheetFormatPr defaultRowHeight="14.4" x14ac:dyDescent="0.3"/>
  <cols>
    <col min="1" max="1" width="15.88671875" bestFit="1" customWidth="1"/>
    <col min="2" max="2" width="12.109375" bestFit="1" customWidth="1"/>
    <col min="3" max="4" width="10.33203125" bestFit="1" customWidth="1"/>
    <col min="5" max="5" width="14.5546875" bestFit="1" customWidth="1"/>
    <col min="6" max="6" width="10.33203125" bestFit="1" customWidth="1"/>
    <col min="7" max="7" width="10.77734375" bestFit="1" customWidth="1"/>
    <col min="8" max="10" width="10.33203125" bestFit="1" customWidth="1"/>
    <col min="11" max="12" width="14.5546875" bestFit="1" customWidth="1"/>
    <col min="13" max="13" width="10.77734375" bestFit="1" customWidth="1"/>
    <col min="14" max="15" width="14.5546875" bestFit="1" customWidth="1"/>
    <col min="16" max="16" width="10.33203125" bestFit="1" customWidth="1"/>
    <col min="17" max="17" width="10.77734375" bestFit="1" customWidth="1"/>
    <col min="18" max="19" width="10.33203125" bestFit="1" customWidth="1"/>
    <col min="20" max="21" width="10.77734375" bestFit="1" customWidth="1"/>
    <col min="22" max="22" width="10.33203125" bestFit="1" customWidth="1"/>
    <col min="23" max="23" width="14.5546875" bestFit="1" customWidth="1"/>
    <col min="24" max="25" width="10.77734375" bestFit="1" customWidth="1"/>
    <col min="26" max="26" width="10.33203125" bestFit="1" customWidth="1"/>
    <col min="27" max="27" width="10.77734375" bestFit="1" customWidth="1"/>
    <col min="28" max="28" width="14.5546875" bestFit="1" customWidth="1"/>
    <col min="29" max="29" width="10.77734375" bestFit="1" customWidth="1"/>
    <col min="30" max="30" width="10.33203125" bestFit="1" customWidth="1"/>
    <col min="31" max="31" width="14.5546875" bestFit="1" customWidth="1"/>
    <col min="32" max="32" width="10.77734375" bestFit="1" customWidth="1"/>
    <col min="33" max="36" width="10.33203125" bestFit="1" customWidth="1"/>
    <col min="37" max="37" width="10.77734375" bestFit="1" customWidth="1"/>
    <col min="38" max="38" width="10.33203125" bestFit="1" customWidth="1"/>
    <col min="39" max="39" width="10.77734375" bestFit="1" customWidth="1"/>
    <col min="40" max="40" width="10.33203125" bestFit="1" customWidth="1"/>
    <col min="41" max="41" width="14.5546875" bestFit="1" customWidth="1"/>
    <col min="42" max="42" width="10.5546875" bestFit="1" customWidth="1"/>
    <col min="43" max="44" width="14.5546875" bestFit="1" customWidth="1"/>
    <col min="45" max="45" width="10.77734375" bestFit="1" customWidth="1"/>
    <col min="46" max="46" width="10.33203125" bestFit="1" customWidth="1"/>
    <col min="47" max="47" width="10.77734375" bestFit="1" customWidth="1"/>
    <col min="48" max="50" width="10.33203125" bestFit="1" customWidth="1"/>
    <col min="51" max="51" width="10.77734375" bestFit="1" customWidth="1"/>
    <col min="52" max="54" width="14.5546875" bestFit="1" customWidth="1"/>
    <col min="55" max="55" width="11.109375" bestFit="1" customWidth="1"/>
    <col min="56" max="56" width="10.5546875" bestFit="1" customWidth="1"/>
    <col min="57" max="57" width="10.77734375" bestFit="1" customWidth="1"/>
    <col min="58" max="58" width="11.6640625" bestFit="1" customWidth="1"/>
    <col min="59" max="59" width="10.33203125" bestFit="1" customWidth="1"/>
    <col min="60" max="62" width="10.77734375" bestFit="1" customWidth="1"/>
    <col min="63" max="63" width="14.5546875" bestFit="1" customWidth="1"/>
    <col min="64" max="64" width="10.77734375" bestFit="1" customWidth="1"/>
    <col min="65" max="65" width="10.33203125" bestFit="1" customWidth="1"/>
    <col min="66" max="66" width="10.77734375" bestFit="1" customWidth="1"/>
    <col min="67" max="67" width="14.5546875" bestFit="1" customWidth="1"/>
    <col min="68" max="68" width="10.77734375" bestFit="1" customWidth="1"/>
    <col min="69" max="70" width="10.33203125" bestFit="1" customWidth="1"/>
    <col min="71" max="71" width="14.5546875" bestFit="1" customWidth="1"/>
    <col min="72" max="73" width="10.33203125" bestFit="1" customWidth="1"/>
    <col min="74" max="74" width="10.88671875" bestFit="1" customWidth="1"/>
    <col min="75" max="75" width="14.5546875" bestFit="1" customWidth="1"/>
    <col min="76" max="76" width="11.6640625" bestFit="1" customWidth="1"/>
    <col min="77" max="77" width="14.5546875" bestFit="1" customWidth="1"/>
    <col min="78" max="78" width="10.33203125" bestFit="1" customWidth="1"/>
    <col min="79" max="80" width="14.5546875" bestFit="1" customWidth="1"/>
    <col min="81" max="82" width="10.33203125" bestFit="1" customWidth="1"/>
    <col min="83" max="83" width="10.77734375" bestFit="1" customWidth="1"/>
    <col min="84" max="85" width="10.33203125" bestFit="1" customWidth="1"/>
    <col min="86" max="86" width="11.109375" bestFit="1" customWidth="1"/>
    <col min="87" max="88" width="10.33203125" bestFit="1" customWidth="1"/>
    <col min="89" max="90" width="10.77734375" bestFit="1" customWidth="1"/>
    <col min="91" max="91" width="14.5546875" bestFit="1" customWidth="1"/>
    <col min="92" max="92" width="10.33203125" bestFit="1" customWidth="1"/>
    <col min="93" max="93" width="11.109375" bestFit="1" customWidth="1"/>
    <col min="94" max="94" width="10.77734375" bestFit="1" customWidth="1"/>
    <col min="95" max="95" width="10.33203125" bestFit="1" customWidth="1"/>
    <col min="96" max="96" width="11.109375" bestFit="1" customWidth="1"/>
    <col min="97" max="98" width="10.33203125" bestFit="1" customWidth="1"/>
    <col min="99" max="100" width="10.77734375" bestFit="1" customWidth="1"/>
    <col min="101" max="101" width="10.33203125" bestFit="1" customWidth="1"/>
    <col min="102" max="102" width="10.77734375" bestFit="1" customWidth="1"/>
    <col min="103" max="103" width="10.33203125" bestFit="1" customWidth="1"/>
    <col min="104" max="104" width="12.109375" bestFit="1" customWidth="1"/>
    <col min="105" max="105" width="10.33203125" bestFit="1" customWidth="1"/>
    <col min="106" max="106" width="14.5546875" bestFit="1" customWidth="1"/>
    <col min="107" max="110" width="10.33203125" bestFit="1" customWidth="1"/>
    <col min="111" max="112" width="14.5546875" bestFit="1" customWidth="1"/>
    <col min="113" max="115" width="10.33203125" bestFit="1" customWidth="1"/>
    <col min="116" max="116" width="10.77734375" bestFit="1" customWidth="1"/>
    <col min="117" max="117" width="10.33203125" bestFit="1" customWidth="1"/>
    <col min="118" max="118" width="11.6640625" bestFit="1" customWidth="1"/>
    <col min="119" max="119" width="10.33203125" bestFit="1" customWidth="1"/>
    <col min="120" max="120" width="14.5546875" bestFit="1" customWidth="1"/>
    <col min="121" max="121" width="10.77734375" bestFit="1" customWidth="1"/>
    <col min="122" max="122" width="14.5546875" bestFit="1" customWidth="1"/>
    <col min="123" max="123" width="10.77734375" bestFit="1" customWidth="1"/>
    <col min="124" max="125" width="10.33203125" bestFit="1" customWidth="1"/>
    <col min="126" max="126" width="10.5546875" bestFit="1" customWidth="1"/>
    <col min="127" max="128" width="10.33203125" bestFit="1" customWidth="1"/>
    <col min="129" max="129" width="14.5546875" bestFit="1" customWidth="1"/>
    <col min="130" max="130" width="10.33203125" bestFit="1" customWidth="1"/>
    <col min="131" max="131" width="10.77734375" bestFit="1" customWidth="1"/>
    <col min="132" max="132" width="10.33203125" bestFit="1" customWidth="1"/>
    <col min="133" max="133" width="14.5546875" bestFit="1" customWidth="1"/>
    <col min="134" max="134" width="10.33203125" bestFit="1" customWidth="1"/>
    <col min="135" max="135" width="14.5546875" bestFit="1" customWidth="1"/>
    <col min="136" max="137" width="10.33203125" bestFit="1" customWidth="1"/>
    <col min="138" max="138" width="11.109375" bestFit="1" customWidth="1"/>
    <col min="139" max="139" width="14.5546875" bestFit="1" customWidth="1"/>
    <col min="140" max="141" width="10.77734375" bestFit="1" customWidth="1"/>
    <col min="142" max="142" width="10.33203125" bestFit="1" customWidth="1"/>
    <col min="143" max="143" width="10.77734375" bestFit="1" customWidth="1"/>
    <col min="144" max="144" width="11.6640625" bestFit="1" customWidth="1"/>
    <col min="145" max="145" width="10.33203125" bestFit="1" customWidth="1"/>
    <col min="146" max="146" width="14.5546875" bestFit="1" customWidth="1"/>
    <col min="147" max="147" width="10.77734375" bestFit="1" customWidth="1"/>
    <col min="148" max="148" width="10.33203125" bestFit="1" customWidth="1"/>
    <col min="149" max="149" width="12.109375" bestFit="1" customWidth="1"/>
    <col min="150" max="151" width="10.77734375" bestFit="1" customWidth="1"/>
    <col min="152" max="153" width="10.33203125" bestFit="1" customWidth="1"/>
    <col min="154" max="154" width="12.33203125" bestFit="1" customWidth="1"/>
    <col min="155" max="155" width="10.77734375" bestFit="1" customWidth="1"/>
    <col min="156" max="157" width="10.33203125" bestFit="1" customWidth="1"/>
    <col min="158" max="158" width="12.109375" bestFit="1" customWidth="1"/>
    <col min="159" max="159" width="10.33203125" bestFit="1" customWidth="1"/>
    <col min="160" max="160" width="10.88671875" bestFit="1" customWidth="1"/>
    <col min="161" max="161" width="10.33203125" bestFit="1" customWidth="1"/>
    <col min="162" max="162" width="14.5546875" bestFit="1" customWidth="1"/>
    <col min="163" max="163" width="11.6640625" bestFit="1" customWidth="1"/>
    <col min="164" max="164" width="10.33203125" bestFit="1" customWidth="1"/>
    <col min="165" max="166" width="14.5546875" bestFit="1" customWidth="1"/>
    <col min="167" max="168" width="10.77734375" bestFit="1" customWidth="1"/>
    <col min="169" max="172" width="10.33203125" bestFit="1" customWidth="1"/>
    <col min="173" max="174" width="10.77734375" bestFit="1" customWidth="1"/>
    <col min="175" max="180" width="10.33203125" bestFit="1" customWidth="1"/>
    <col min="181" max="181" width="14.5546875" bestFit="1" customWidth="1"/>
    <col min="182" max="182" width="11.109375" bestFit="1" customWidth="1"/>
    <col min="183" max="183" width="10.77734375" bestFit="1" customWidth="1"/>
    <col min="184" max="184" width="10.33203125" bestFit="1" customWidth="1"/>
    <col min="185" max="185" width="10.5546875" bestFit="1" customWidth="1"/>
    <col min="186" max="189" width="10.33203125" bestFit="1" customWidth="1"/>
    <col min="190" max="190" width="14.5546875" bestFit="1" customWidth="1"/>
    <col min="191" max="191" width="10.77734375" bestFit="1" customWidth="1"/>
    <col min="192" max="193" width="14.5546875" bestFit="1" customWidth="1"/>
    <col min="194" max="194" width="10.77734375" bestFit="1" customWidth="1"/>
    <col min="195" max="195" width="10.33203125" bestFit="1" customWidth="1"/>
    <col min="196" max="196" width="14.5546875" bestFit="1" customWidth="1"/>
    <col min="197" max="197" width="10.33203125" bestFit="1" customWidth="1"/>
    <col min="198" max="198" width="14.5546875" bestFit="1" customWidth="1"/>
    <col min="199" max="199" width="12.33203125" bestFit="1" customWidth="1"/>
    <col min="200" max="200" width="14.5546875" bestFit="1" customWidth="1"/>
    <col min="201" max="201" width="12.33203125" bestFit="1" customWidth="1"/>
    <col min="202" max="202" width="10.77734375" bestFit="1" customWidth="1"/>
    <col min="203" max="203" width="10.33203125" bestFit="1" customWidth="1"/>
    <col min="204" max="204" width="10.88671875" bestFit="1" customWidth="1"/>
    <col min="205" max="205" width="10.33203125" bestFit="1" customWidth="1"/>
    <col min="206" max="206" width="14.5546875" bestFit="1" customWidth="1"/>
    <col min="207" max="207" width="10.33203125" bestFit="1" customWidth="1"/>
    <col min="208" max="209" width="10.77734375" bestFit="1" customWidth="1"/>
    <col min="210" max="210" width="11.109375" bestFit="1" customWidth="1"/>
    <col min="211" max="211" width="12.109375" bestFit="1" customWidth="1"/>
    <col min="212" max="212" width="10.77734375" bestFit="1" customWidth="1"/>
    <col min="213" max="213" width="10.33203125" bestFit="1" customWidth="1"/>
    <col min="214" max="214" width="10.77734375" bestFit="1" customWidth="1"/>
    <col min="215" max="217" width="10.33203125" bestFit="1" customWidth="1"/>
    <col min="218" max="218" width="11.109375" bestFit="1" customWidth="1"/>
    <col min="219" max="219" width="10.33203125" bestFit="1" customWidth="1"/>
    <col min="220" max="220" width="14.5546875" bestFit="1" customWidth="1"/>
    <col min="221" max="221" width="10.33203125" bestFit="1" customWidth="1"/>
    <col min="222" max="222" width="12.109375" bestFit="1" customWidth="1"/>
    <col min="223" max="223" width="10.77734375" bestFit="1" customWidth="1"/>
    <col min="224" max="224" width="10.33203125" bestFit="1" customWidth="1"/>
    <col min="225" max="225" width="11.6640625" bestFit="1" customWidth="1"/>
    <col min="226" max="227" width="10.77734375" bestFit="1" customWidth="1"/>
    <col min="228" max="228" width="10.33203125" bestFit="1" customWidth="1"/>
    <col min="229" max="229" width="14.5546875" bestFit="1" customWidth="1"/>
    <col min="230" max="230" width="10.88671875" bestFit="1" customWidth="1"/>
    <col min="231" max="231" width="14.5546875" bestFit="1" customWidth="1"/>
    <col min="232" max="235" width="10.33203125" bestFit="1" customWidth="1"/>
    <col min="236" max="236" width="14.5546875" bestFit="1" customWidth="1"/>
    <col min="237" max="237" width="10.33203125" bestFit="1" customWidth="1"/>
    <col min="238" max="238" width="12.109375" bestFit="1" customWidth="1"/>
    <col min="239" max="239" width="14.5546875" bestFit="1" customWidth="1"/>
    <col min="240" max="240" width="10.33203125" bestFit="1" customWidth="1"/>
    <col min="241" max="241" width="10.77734375" bestFit="1" customWidth="1"/>
    <col min="242" max="242" width="12.33203125" bestFit="1" customWidth="1"/>
    <col min="243" max="243" width="10.5546875" bestFit="1" customWidth="1"/>
    <col min="244" max="245" width="10.33203125" bestFit="1" customWidth="1"/>
    <col min="246" max="246" width="10.77734375" bestFit="1" customWidth="1"/>
    <col min="247" max="247" width="10.33203125" bestFit="1" customWidth="1"/>
    <col min="248" max="248" width="14.5546875" bestFit="1" customWidth="1"/>
    <col min="249" max="249" width="10.77734375" bestFit="1" customWidth="1"/>
    <col min="250" max="250" width="10.33203125" bestFit="1" customWidth="1"/>
    <col min="251" max="251" width="14.5546875" bestFit="1" customWidth="1"/>
    <col min="252" max="252" width="10.33203125" bestFit="1" customWidth="1"/>
    <col min="253" max="253" width="10.77734375" bestFit="1" customWidth="1"/>
    <col min="254" max="254" width="14.5546875" bestFit="1" customWidth="1"/>
    <col min="255" max="255" width="10.77734375" bestFit="1" customWidth="1"/>
    <col min="256" max="257" width="12.109375" bestFit="1" customWidth="1"/>
    <col min="258" max="258" width="10.33203125" bestFit="1" customWidth="1"/>
    <col min="259" max="259" width="14.5546875" bestFit="1" customWidth="1"/>
    <col min="260" max="261" width="10.77734375" bestFit="1" customWidth="1"/>
    <col min="262" max="263" width="10.33203125" bestFit="1" customWidth="1"/>
    <col min="264" max="264" width="14.5546875" bestFit="1" customWidth="1"/>
    <col min="265" max="266" width="10.33203125" bestFit="1" customWidth="1"/>
    <col min="267" max="267" width="14.5546875" bestFit="1" customWidth="1"/>
    <col min="268" max="268" width="10.33203125" bestFit="1" customWidth="1"/>
    <col min="269" max="269" width="10.77734375" bestFit="1" customWidth="1"/>
    <col min="270" max="271" width="14.5546875" bestFit="1" customWidth="1"/>
    <col min="272" max="272" width="12.33203125" bestFit="1" customWidth="1"/>
    <col min="273" max="273" width="10.77734375" bestFit="1" customWidth="1"/>
    <col min="274" max="275" width="10.33203125" bestFit="1" customWidth="1"/>
    <col min="276" max="276" width="10.5546875" bestFit="1" customWidth="1"/>
    <col min="277" max="279" width="10.33203125" bestFit="1" customWidth="1"/>
    <col min="280" max="280" width="14.5546875" bestFit="1" customWidth="1"/>
    <col min="281" max="281" width="10.88671875" bestFit="1" customWidth="1"/>
    <col min="282" max="282" width="10.33203125" bestFit="1" customWidth="1"/>
    <col min="283" max="284" width="10.77734375" bestFit="1" customWidth="1"/>
    <col min="285" max="285" width="14.5546875" bestFit="1" customWidth="1"/>
    <col min="286" max="286" width="10.33203125" bestFit="1" customWidth="1"/>
    <col min="287" max="287" width="11.6640625" bestFit="1" customWidth="1"/>
    <col min="288" max="289" width="10.33203125" bestFit="1" customWidth="1"/>
    <col min="290" max="290" width="11.6640625" bestFit="1" customWidth="1"/>
    <col min="291" max="291" width="12.109375" bestFit="1" customWidth="1"/>
    <col min="292" max="292" width="10.33203125" bestFit="1" customWidth="1"/>
    <col min="293" max="293" width="14.5546875" bestFit="1" customWidth="1"/>
    <col min="294" max="294" width="10.77734375" bestFit="1" customWidth="1"/>
    <col min="295" max="295" width="14.5546875" bestFit="1" customWidth="1"/>
    <col min="296" max="296" width="10.77734375" bestFit="1" customWidth="1"/>
    <col min="297" max="297" width="14.5546875" bestFit="1" customWidth="1"/>
    <col min="298" max="298" width="12.109375" bestFit="1" customWidth="1"/>
    <col min="299" max="299" width="10.33203125" bestFit="1" customWidth="1"/>
    <col min="300" max="300" width="10.77734375" bestFit="1" customWidth="1"/>
    <col min="301" max="305" width="10.33203125" bestFit="1" customWidth="1"/>
    <col min="306" max="306" width="14.5546875" bestFit="1" customWidth="1"/>
    <col min="307" max="307" width="10.77734375" bestFit="1" customWidth="1"/>
    <col min="308" max="308" width="11.6640625" bestFit="1" customWidth="1"/>
    <col min="309" max="309" width="10.33203125" bestFit="1" customWidth="1"/>
    <col min="310" max="311" width="10.77734375" bestFit="1" customWidth="1"/>
    <col min="312" max="313" width="10.33203125" bestFit="1" customWidth="1"/>
    <col min="314" max="314" width="14.5546875" bestFit="1" customWidth="1"/>
    <col min="315" max="315" width="10.33203125" bestFit="1" customWidth="1"/>
    <col min="316" max="316" width="11.109375" bestFit="1" customWidth="1"/>
    <col min="317" max="317" width="11.6640625" bestFit="1" customWidth="1"/>
    <col min="318" max="318" width="10.33203125" bestFit="1" customWidth="1"/>
    <col min="319" max="319" width="14.5546875" bestFit="1" customWidth="1"/>
    <col min="320" max="320" width="11.109375" bestFit="1" customWidth="1"/>
    <col min="321" max="321" width="14.5546875" bestFit="1" customWidth="1"/>
    <col min="322" max="322" width="10.77734375" bestFit="1" customWidth="1"/>
    <col min="323" max="323" width="14.5546875" bestFit="1" customWidth="1"/>
    <col min="324" max="324" width="10.33203125" bestFit="1" customWidth="1"/>
    <col min="325" max="325" width="11.6640625" bestFit="1" customWidth="1"/>
    <col min="326" max="326" width="14.5546875" bestFit="1" customWidth="1"/>
    <col min="327" max="327" width="10.33203125" bestFit="1" customWidth="1"/>
    <col min="328" max="328" width="10.77734375" bestFit="1" customWidth="1"/>
    <col min="329" max="330" width="10.33203125" bestFit="1" customWidth="1"/>
    <col min="331" max="331" width="10.5546875" bestFit="1" customWidth="1"/>
    <col min="332" max="332" width="14.5546875" bestFit="1" customWidth="1"/>
    <col min="333" max="333" width="10.77734375" bestFit="1" customWidth="1"/>
    <col min="334" max="334" width="10.33203125" bestFit="1" customWidth="1"/>
    <col min="335" max="336" width="14.5546875" bestFit="1" customWidth="1"/>
    <col min="337" max="337" width="12.33203125" bestFit="1" customWidth="1"/>
    <col min="338" max="338" width="10.33203125" bestFit="1" customWidth="1"/>
    <col min="339" max="339" width="11.109375" bestFit="1" customWidth="1"/>
    <col min="340" max="340" width="10.33203125" bestFit="1" customWidth="1"/>
    <col min="341" max="341" width="11.109375" bestFit="1" customWidth="1"/>
    <col min="342" max="343" width="14.5546875" bestFit="1" customWidth="1"/>
    <col min="344" max="344" width="10.77734375" bestFit="1" customWidth="1"/>
    <col min="345" max="345" width="10.33203125" bestFit="1" customWidth="1"/>
    <col min="346" max="346" width="10.77734375" bestFit="1" customWidth="1"/>
    <col min="347" max="347" width="10.33203125" bestFit="1" customWidth="1"/>
    <col min="348" max="348" width="12.109375" bestFit="1" customWidth="1"/>
    <col min="349" max="349" width="10.88671875" bestFit="1" customWidth="1"/>
    <col min="350" max="351" width="10.33203125" bestFit="1" customWidth="1"/>
    <col min="352" max="352" width="14.5546875" bestFit="1" customWidth="1"/>
    <col min="353" max="354" width="10.33203125" bestFit="1" customWidth="1"/>
    <col min="355" max="355" width="11.6640625" bestFit="1" customWidth="1"/>
    <col min="356" max="356" width="14.5546875" bestFit="1" customWidth="1"/>
    <col min="357" max="357" width="10.77734375" bestFit="1" customWidth="1"/>
    <col min="358" max="358" width="11.6640625" bestFit="1" customWidth="1"/>
    <col min="359" max="359" width="14.5546875" bestFit="1" customWidth="1"/>
    <col min="360" max="360" width="10.33203125" bestFit="1" customWidth="1"/>
    <col min="361" max="361" width="10.77734375" bestFit="1" customWidth="1"/>
    <col min="362" max="365" width="10.33203125" bestFit="1" customWidth="1"/>
    <col min="366" max="366" width="14.5546875" bestFit="1" customWidth="1"/>
    <col min="367" max="367" width="10.77734375" bestFit="1" customWidth="1"/>
    <col min="368" max="370" width="14.5546875" bestFit="1" customWidth="1"/>
    <col min="371" max="371" width="10.33203125" bestFit="1" customWidth="1"/>
    <col min="372" max="372" width="10.88671875" bestFit="1" customWidth="1"/>
    <col min="373" max="373" width="14.5546875" bestFit="1" customWidth="1"/>
    <col min="374" max="374" width="10.33203125" bestFit="1" customWidth="1"/>
    <col min="375" max="375" width="11.6640625" bestFit="1" customWidth="1"/>
    <col min="376" max="376" width="14.5546875" bestFit="1" customWidth="1"/>
    <col min="377" max="378" width="10.33203125" bestFit="1" customWidth="1"/>
    <col min="379" max="380" width="14.5546875" bestFit="1" customWidth="1"/>
    <col min="381" max="381" width="10.77734375" bestFit="1" customWidth="1"/>
    <col min="382" max="383" width="10.33203125" bestFit="1" customWidth="1"/>
    <col min="384" max="386" width="10.77734375" bestFit="1" customWidth="1"/>
    <col min="387" max="387" width="10.88671875" bestFit="1" customWidth="1"/>
    <col min="388" max="388" width="10.77734375" bestFit="1" customWidth="1"/>
    <col min="389" max="389" width="10.33203125" bestFit="1" customWidth="1"/>
    <col min="390" max="391" width="14.5546875" bestFit="1" customWidth="1"/>
    <col min="392" max="392" width="12.33203125" bestFit="1" customWidth="1"/>
    <col min="393" max="393" width="10.33203125" bestFit="1" customWidth="1"/>
    <col min="394" max="394" width="14.5546875" bestFit="1" customWidth="1"/>
    <col min="395" max="395" width="11.109375" bestFit="1" customWidth="1"/>
    <col min="396" max="396" width="10.33203125" bestFit="1" customWidth="1"/>
    <col min="397" max="397" width="10.77734375" bestFit="1" customWidth="1"/>
    <col min="398" max="399" width="10.33203125" bestFit="1" customWidth="1"/>
    <col min="400" max="400" width="10.77734375" bestFit="1" customWidth="1"/>
    <col min="401" max="402" width="14.5546875" bestFit="1" customWidth="1"/>
    <col min="403" max="403" width="10.77734375" bestFit="1" customWidth="1"/>
    <col min="404" max="404" width="10.33203125" bestFit="1" customWidth="1"/>
    <col min="405" max="406" width="12.33203125" bestFit="1" customWidth="1"/>
    <col min="407" max="407" width="10.77734375" bestFit="1" customWidth="1"/>
    <col min="408" max="410" width="10.33203125" bestFit="1" customWidth="1"/>
    <col min="411" max="411" width="11.109375" bestFit="1" customWidth="1"/>
    <col min="412" max="414" width="10.33203125" bestFit="1" customWidth="1"/>
    <col min="415" max="416" width="10.77734375" bestFit="1" customWidth="1"/>
    <col min="417" max="417" width="10.33203125" bestFit="1" customWidth="1"/>
    <col min="418" max="418" width="10.5546875" bestFit="1" customWidth="1"/>
    <col min="419" max="420" width="14.5546875" bestFit="1" customWidth="1"/>
    <col min="421" max="421" width="12.33203125" bestFit="1" customWidth="1"/>
    <col min="422" max="423" width="10.5546875" bestFit="1" customWidth="1"/>
    <col min="424" max="424" width="10.33203125" bestFit="1" customWidth="1"/>
    <col min="425" max="425" width="10.77734375" bestFit="1" customWidth="1"/>
    <col min="426" max="428" width="10.33203125" bestFit="1" customWidth="1"/>
    <col min="429" max="429" width="10.77734375" bestFit="1" customWidth="1"/>
    <col min="430" max="431" width="10.33203125" bestFit="1" customWidth="1"/>
    <col min="432" max="432" width="14.5546875" bestFit="1" customWidth="1"/>
    <col min="433" max="433" width="10.33203125" bestFit="1" customWidth="1"/>
    <col min="434" max="434" width="10.77734375" bestFit="1" customWidth="1"/>
    <col min="435" max="435" width="12.109375" bestFit="1" customWidth="1"/>
    <col min="436" max="437" width="10.33203125" bestFit="1" customWidth="1"/>
    <col min="438" max="438" width="14.5546875" bestFit="1" customWidth="1"/>
    <col min="439" max="439" width="10.33203125" bestFit="1" customWidth="1"/>
    <col min="440" max="440" width="14.5546875" bestFit="1" customWidth="1"/>
    <col min="441" max="441" width="11.109375" bestFit="1" customWidth="1"/>
    <col min="442" max="442" width="10.77734375" bestFit="1" customWidth="1"/>
    <col min="443" max="443" width="14.5546875" bestFit="1" customWidth="1"/>
    <col min="444" max="446" width="10.33203125" bestFit="1" customWidth="1"/>
    <col min="447" max="447" width="10.77734375" bestFit="1" customWidth="1"/>
    <col min="448" max="448" width="14.5546875" bestFit="1" customWidth="1"/>
    <col min="449" max="449" width="12.109375" bestFit="1" customWidth="1"/>
    <col min="450" max="450" width="12.33203125" bestFit="1" customWidth="1"/>
    <col min="451" max="452" width="10.33203125" bestFit="1" customWidth="1"/>
    <col min="453" max="453" width="10.88671875" bestFit="1" customWidth="1"/>
    <col min="454" max="454" width="10.77734375" bestFit="1" customWidth="1"/>
    <col min="455" max="455" width="11.6640625" bestFit="1" customWidth="1"/>
    <col min="456" max="456" width="10.5546875" bestFit="1" customWidth="1"/>
    <col min="457" max="458" width="10.33203125" bestFit="1" customWidth="1"/>
    <col min="459" max="459" width="10.77734375" bestFit="1" customWidth="1"/>
    <col min="460" max="460" width="10.33203125" bestFit="1" customWidth="1"/>
    <col min="461" max="461" width="11.109375" bestFit="1" customWidth="1"/>
    <col min="462" max="463" width="10.5546875" bestFit="1" customWidth="1"/>
    <col min="464" max="464" width="14.5546875" bestFit="1" customWidth="1"/>
    <col min="465" max="465" width="10.77734375" bestFit="1" customWidth="1"/>
    <col min="466" max="466" width="10.33203125" bestFit="1" customWidth="1"/>
    <col min="467" max="467" width="14.5546875" bestFit="1" customWidth="1"/>
    <col min="468" max="472" width="10.33203125" bestFit="1" customWidth="1"/>
    <col min="473" max="473" width="14.5546875" bestFit="1" customWidth="1"/>
    <col min="474" max="474" width="10.33203125" bestFit="1" customWidth="1"/>
    <col min="475" max="475" width="14.5546875" bestFit="1" customWidth="1"/>
    <col min="476" max="476" width="10.33203125" bestFit="1" customWidth="1"/>
    <col min="477" max="477" width="14.5546875" bestFit="1" customWidth="1"/>
    <col min="478" max="479" width="10.33203125" bestFit="1" customWidth="1"/>
    <col min="480" max="480" width="10.88671875" bestFit="1" customWidth="1"/>
    <col min="481" max="481" width="10.33203125" bestFit="1" customWidth="1"/>
    <col min="482" max="482" width="11.109375" bestFit="1" customWidth="1"/>
    <col min="483" max="484" width="10.33203125" bestFit="1" customWidth="1"/>
    <col min="485" max="487" width="10.77734375" bestFit="1" customWidth="1"/>
    <col min="488" max="490" width="10.33203125" bestFit="1" customWidth="1"/>
    <col min="491" max="491" width="14.5546875" bestFit="1" customWidth="1"/>
    <col min="492" max="493" width="10.33203125" bestFit="1" customWidth="1"/>
    <col min="494" max="494" width="10.88671875" bestFit="1" customWidth="1"/>
    <col min="495" max="496" width="10.33203125" bestFit="1" customWidth="1"/>
    <col min="497" max="498" width="10.77734375" bestFit="1" customWidth="1"/>
    <col min="499" max="500" width="10.33203125" bestFit="1" customWidth="1"/>
    <col min="501" max="501" width="10.77734375" bestFit="1" customWidth="1"/>
  </cols>
  <sheetData>
    <row r="1" spans="1:501" x14ac:dyDescent="0.3">
      <c r="A1" s="3" t="s">
        <v>0</v>
      </c>
      <c r="B1" s="1">
        <v>10001</v>
      </c>
      <c r="C1" s="1">
        <v>10002</v>
      </c>
      <c r="D1" s="1">
        <v>10003</v>
      </c>
      <c r="E1" s="1">
        <v>10004</v>
      </c>
      <c r="F1" s="1">
        <v>10005</v>
      </c>
      <c r="G1" s="1">
        <v>10006</v>
      </c>
      <c r="H1" s="1">
        <v>10007</v>
      </c>
      <c r="I1" s="1">
        <v>10008</v>
      </c>
      <c r="J1" s="1">
        <v>10009</v>
      </c>
      <c r="K1" s="1">
        <v>10010</v>
      </c>
      <c r="L1" s="1">
        <v>10011</v>
      </c>
      <c r="M1" s="1">
        <v>10012</v>
      </c>
      <c r="N1" s="1">
        <v>10013</v>
      </c>
      <c r="O1" s="1">
        <v>10014</v>
      </c>
      <c r="P1" s="1">
        <v>10015</v>
      </c>
      <c r="Q1" s="1">
        <v>10016</v>
      </c>
      <c r="R1" s="1">
        <v>10017</v>
      </c>
      <c r="S1" s="1">
        <v>10018</v>
      </c>
      <c r="T1" s="1">
        <v>10019</v>
      </c>
      <c r="U1" s="1">
        <v>10020</v>
      </c>
      <c r="V1" s="1">
        <v>10021</v>
      </c>
      <c r="W1" s="1">
        <v>10022</v>
      </c>
      <c r="X1" s="1">
        <v>10023</v>
      </c>
      <c r="Y1" s="1">
        <v>10024</v>
      </c>
      <c r="Z1" s="1">
        <v>10025</v>
      </c>
      <c r="AA1" s="1">
        <v>10026</v>
      </c>
      <c r="AB1" s="1">
        <v>10027</v>
      </c>
      <c r="AC1" s="1">
        <v>10028</v>
      </c>
      <c r="AD1" s="1">
        <v>10029</v>
      </c>
      <c r="AE1" s="1">
        <v>10030</v>
      </c>
      <c r="AF1" s="1">
        <v>10031</v>
      </c>
      <c r="AG1" s="1">
        <v>10032</v>
      </c>
      <c r="AH1" s="1">
        <v>10033</v>
      </c>
      <c r="AI1" s="1">
        <v>10034</v>
      </c>
      <c r="AJ1" s="1">
        <v>10035</v>
      </c>
      <c r="AK1" s="1">
        <v>10036</v>
      </c>
      <c r="AL1" s="1">
        <v>10037</v>
      </c>
      <c r="AM1" s="1">
        <v>10038</v>
      </c>
      <c r="AN1" s="1">
        <v>10039</v>
      </c>
      <c r="AO1" s="1">
        <v>10040</v>
      </c>
      <c r="AP1" s="1">
        <v>10041</v>
      </c>
      <c r="AQ1" s="1">
        <v>10042</v>
      </c>
      <c r="AR1" s="1">
        <v>10043</v>
      </c>
      <c r="AS1" s="1">
        <v>10044</v>
      </c>
      <c r="AT1" s="1">
        <v>10045</v>
      </c>
      <c r="AU1" s="1">
        <v>10046</v>
      </c>
      <c r="AV1" s="1">
        <v>10047</v>
      </c>
      <c r="AW1" s="1">
        <v>10048</v>
      </c>
      <c r="AX1" s="1">
        <v>10049</v>
      </c>
      <c r="AY1" s="1">
        <v>10050</v>
      </c>
      <c r="AZ1" s="1">
        <v>10051</v>
      </c>
      <c r="BA1" s="1">
        <v>10052</v>
      </c>
      <c r="BB1" s="1">
        <v>10053</v>
      </c>
      <c r="BC1" s="1">
        <v>10054</v>
      </c>
      <c r="BD1" s="1">
        <v>10055</v>
      </c>
      <c r="BE1" s="1">
        <v>10056</v>
      </c>
      <c r="BF1" s="1">
        <v>10057</v>
      </c>
      <c r="BG1" s="1">
        <v>10058</v>
      </c>
      <c r="BH1" s="1">
        <v>10059</v>
      </c>
      <c r="BI1" s="1">
        <v>10060</v>
      </c>
      <c r="BJ1" s="1">
        <v>10061</v>
      </c>
      <c r="BK1" s="1">
        <v>10062</v>
      </c>
      <c r="BL1" s="1">
        <v>10063</v>
      </c>
      <c r="BM1" s="1">
        <v>10064</v>
      </c>
      <c r="BN1" s="1">
        <v>10065</v>
      </c>
      <c r="BO1" s="1">
        <v>10066</v>
      </c>
      <c r="BP1" s="1">
        <v>10067</v>
      </c>
      <c r="BQ1" s="1">
        <v>10068</v>
      </c>
      <c r="BR1" s="1">
        <v>10069</v>
      </c>
      <c r="BS1" s="1">
        <v>10070</v>
      </c>
      <c r="BT1" s="1">
        <v>10071</v>
      </c>
      <c r="BU1" s="1">
        <v>10072</v>
      </c>
      <c r="BV1" s="1">
        <v>10073</v>
      </c>
      <c r="BW1" s="1">
        <v>10074</v>
      </c>
      <c r="BX1" s="1">
        <v>10075</v>
      </c>
      <c r="BY1" s="1">
        <v>10076</v>
      </c>
      <c r="BZ1" s="1">
        <v>10077</v>
      </c>
      <c r="CA1" s="1">
        <v>10078</v>
      </c>
      <c r="CB1" s="1">
        <v>10079</v>
      </c>
      <c r="CC1" s="1">
        <v>10080</v>
      </c>
      <c r="CD1" s="1">
        <v>10081</v>
      </c>
      <c r="CE1" s="1">
        <v>10082</v>
      </c>
      <c r="CF1" s="1">
        <v>10083</v>
      </c>
      <c r="CG1" s="1">
        <v>10084</v>
      </c>
      <c r="CH1" s="1">
        <v>10085</v>
      </c>
      <c r="CI1" s="1">
        <v>10086</v>
      </c>
      <c r="CJ1" s="1">
        <v>10087</v>
      </c>
      <c r="CK1" s="1">
        <v>10088</v>
      </c>
      <c r="CL1" s="1">
        <v>10089</v>
      </c>
      <c r="CM1" s="1">
        <v>10090</v>
      </c>
      <c r="CN1" s="1">
        <v>10091</v>
      </c>
      <c r="CO1" s="1">
        <v>10092</v>
      </c>
      <c r="CP1" s="1">
        <v>10093</v>
      </c>
      <c r="CQ1" s="1">
        <v>10094</v>
      </c>
      <c r="CR1" s="1">
        <v>10095</v>
      </c>
      <c r="CS1" s="1">
        <v>10096</v>
      </c>
      <c r="CT1" s="1">
        <v>10097</v>
      </c>
      <c r="CU1" s="1">
        <v>10098</v>
      </c>
      <c r="CV1" s="1">
        <v>10099</v>
      </c>
      <c r="CW1" s="1">
        <v>10100</v>
      </c>
      <c r="CX1" s="1">
        <v>10101</v>
      </c>
      <c r="CY1" s="1">
        <v>10102</v>
      </c>
      <c r="CZ1" s="1">
        <v>10103</v>
      </c>
      <c r="DA1" s="1">
        <v>10104</v>
      </c>
      <c r="DB1" s="1">
        <v>10105</v>
      </c>
      <c r="DC1" s="1">
        <v>10106</v>
      </c>
      <c r="DD1" s="1">
        <v>10107</v>
      </c>
      <c r="DE1" s="1">
        <v>10108</v>
      </c>
      <c r="DF1" s="1">
        <v>10109</v>
      </c>
      <c r="DG1" s="1">
        <v>10110</v>
      </c>
      <c r="DH1" s="1">
        <v>10111</v>
      </c>
      <c r="DI1" s="1">
        <v>10112</v>
      </c>
      <c r="DJ1" s="1">
        <v>10113</v>
      </c>
      <c r="DK1" s="1">
        <v>10114</v>
      </c>
      <c r="DL1" s="1">
        <v>10115</v>
      </c>
      <c r="DM1" s="1">
        <v>10116</v>
      </c>
      <c r="DN1" s="1">
        <v>10117</v>
      </c>
      <c r="DO1" s="1">
        <v>10118</v>
      </c>
      <c r="DP1" s="1">
        <v>10119</v>
      </c>
      <c r="DQ1" s="1">
        <v>10120</v>
      </c>
      <c r="DR1" s="1">
        <v>10121</v>
      </c>
      <c r="DS1" s="1">
        <v>10122</v>
      </c>
      <c r="DT1" s="1">
        <v>10123</v>
      </c>
      <c r="DU1" s="1">
        <v>10124</v>
      </c>
      <c r="DV1" s="1">
        <v>10125</v>
      </c>
      <c r="DW1" s="1">
        <v>10126</v>
      </c>
      <c r="DX1" s="1">
        <v>10127</v>
      </c>
      <c r="DY1" s="1">
        <v>10128</v>
      </c>
      <c r="DZ1" s="1">
        <v>10129</v>
      </c>
      <c r="EA1" s="1">
        <v>10130</v>
      </c>
      <c r="EB1" s="1">
        <v>10131</v>
      </c>
      <c r="EC1" s="1">
        <v>10132</v>
      </c>
      <c r="ED1" s="1">
        <v>10133</v>
      </c>
      <c r="EE1" s="1">
        <v>10134</v>
      </c>
      <c r="EF1" s="1">
        <v>10135</v>
      </c>
      <c r="EG1" s="1">
        <v>10136</v>
      </c>
      <c r="EH1" s="1">
        <v>10137</v>
      </c>
      <c r="EI1" s="1">
        <v>10138</v>
      </c>
      <c r="EJ1" s="1">
        <v>10139</v>
      </c>
      <c r="EK1" s="1">
        <v>10140</v>
      </c>
      <c r="EL1" s="1">
        <v>10141</v>
      </c>
      <c r="EM1" s="1">
        <v>10142</v>
      </c>
      <c r="EN1" s="1">
        <v>10143</v>
      </c>
      <c r="EO1" s="1">
        <v>10144</v>
      </c>
      <c r="EP1" s="1">
        <v>10145</v>
      </c>
      <c r="EQ1" s="1">
        <v>10146</v>
      </c>
      <c r="ER1" s="1">
        <v>10147</v>
      </c>
      <c r="ES1" s="1">
        <v>10148</v>
      </c>
      <c r="ET1" s="1">
        <v>10149</v>
      </c>
      <c r="EU1" s="1">
        <v>10150</v>
      </c>
      <c r="EV1" s="1">
        <v>10151</v>
      </c>
      <c r="EW1" s="1">
        <v>10152</v>
      </c>
      <c r="EX1" s="1">
        <v>10153</v>
      </c>
      <c r="EY1" s="1">
        <v>10154</v>
      </c>
      <c r="EZ1" s="1">
        <v>10155</v>
      </c>
      <c r="FA1" s="1">
        <v>10156</v>
      </c>
      <c r="FB1" s="1">
        <v>10157</v>
      </c>
      <c r="FC1" s="1">
        <v>10158</v>
      </c>
      <c r="FD1" s="1">
        <v>10159</v>
      </c>
      <c r="FE1" s="1">
        <v>10160</v>
      </c>
      <c r="FF1" s="1">
        <v>10161</v>
      </c>
      <c r="FG1" s="1">
        <v>10162</v>
      </c>
      <c r="FH1" s="1">
        <v>10163</v>
      </c>
      <c r="FI1" s="1">
        <v>10164</v>
      </c>
      <c r="FJ1" s="1">
        <v>10165</v>
      </c>
      <c r="FK1" s="1">
        <v>10166</v>
      </c>
      <c r="FL1" s="1">
        <v>10167</v>
      </c>
      <c r="FM1" s="1">
        <v>10168</v>
      </c>
      <c r="FN1" s="1">
        <v>10169</v>
      </c>
      <c r="FO1" s="1">
        <v>10170</v>
      </c>
      <c r="FP1" s="1">
        <v>10171</v>
      </c>
      <c r="FQ1" s="1">
        <v>10172</v>
      </c>
      <c r="FR1" s="1">
        <v>10173</v>
      </c>
      <c r="FS1" s="1">
        <v>10174</v>
      </c>
      <c r="FT1" s="1">
        <v>10175</v>
      </c>
      <c r="FU1" s="1">
        <v>10176</v>
      </c>
      <c r="FV1" s="1">
        <v>10177</v>
      </c>
      <c r="FW1" s="1">
        <v>10178</v>
      </c>
      <c r="FX1" s="1">
        <v>10179</v>
      </c>
      <c r="FY1" s="1">
        <v>10180</v>
      </c>
      <c r="FZ1" s="1">
        <v>10181</v>
      </c>
      <c r="GA1" s="1">
        <v>10182</v>
      </c>
      <c r="GB1" s="1">
        <v>10183</v>
      </c>
      <c r="GC1" s="1">
        <v>10184</v>
      </c>
      <c r="GD1" s="1">
        <v>10185</v>
      </c>
      <c r="GE1" s="1">
        <v>10186</v>
      </c>
      <c r="GF1" s="1">
        <v>10187</v>
      </c>
      <c r="GG1" s="1">
        <v>10188</v>
      </c>
      <c r="GH1" s="1">
        <v>10189</v>
      </c>
      <c r="GI1" s="1">
        <v>10190</v>
      </c>
      <c r="GJ1" s="1">
        <v>10191</v>
      </c>
      <c r="GK1" s="1">
        <v>10192</v>
      </c>
      <c r="GL1" s="1">
        <v>10193</v>
      </c>
      <c r="GM1" s="1">
        <v>10194</v>
      </c>
      <c r="GN1" s="1">
        <v>10195</v>
      </c>
      <c r="GO1" s="1">
        <v>10196</v>
      </c>
      <c r="GP1" s="1">
        <v>10197</v>
      </c>
      <c r="GQ1" s="1">
        <v>10198</v>
      </c>
      <c r="GR1" s="1">
        <v>10199</v>
      </c>
      <c r="GS1" s="1">
        <v>10200</v>
      </c>
      <c r="GT1" s="1">
        <v>10201</v>
      </c>
      <c r="GU1" s="1">
        <v>10202</v>
      </c>
      <c r="GV1" s="1">
        <v>10203</v>
      </c>
      <c r="GW1" s="1">
        <v>10204</v>
      </c>
      <c r="GX1" s="1">
        <v>10205</v>
      </c>
      <c r="GY1" s="1">
        <v>10206</v>
      </c>
      <c r="GZ1" s="1">
        <v>10207</v>
      </c>
      <c r="HA1" s="1">
        <v>10208</v>
      </c>
      <c r="HB1" s="1">
        <v>10209</v>
      </c>
      <c r="HC1" s="1">
        <v>10210</v>
      </c>
      <c r="HD1" s="1">
        <v>10211</v>
      </c>
      <c r="HE1" s="1">
        <v>10212</v>
      </c>
      <c r="HF1" s="1">
        <v>10213</v>
      </c>
      <c r="HG1" s="1">
        <v>10214</v>
      </c>
      <c r="HH1" s="1">
        <v>10215</v>
      </c>
      <c r="HI1" s="1">
        <v>10216</v>
      </c>
      <c r="HJ1" s="1">
        <v>10217</v>
      </c>
      <c r="HK1" s="1">
        <v>10218</v>
      </c>
      <c r="HL1" s="1">
        <v>10219</v>
      </c>
      <c r="HM1" s="1">
        <v>10220</v>
      </c>
      <c r="HN1" s="1">
        <v>10221</v>
      </c>
      <c r="HO1" s="1">
        <v>10222</v>
      </c>
      <c r="HP1" s="1">
        <v>10223</v>
      </c>
      <c r="HQ1" s="1">
        <v>10224</v>
      </c>
      <c r="HR1" s="1">
        <v>10225</v>
      </c>
      <c r="HS1" s="1">
        <v>10226</v>
      </c>
      <c r="HT1" s="1">
        <v>10227</v>
      </c>
      <c r="HU1" s="1">
        <v>10228</v>
      </c>
      <c r="HV1" s="1">
        <v>10229</v>
      </c>
      <c r="HW1" s="1">
        <v>10230</v>
      </c>
      <c r="HX1" s="1">
        <v>10231</v>
      </c>
      <c r="HY1" s="1">
        <v>10232</v>
      </c>
      <c r="HZ1" s="1">
        <v>10233</v>
      </c>
      <c r="IA1" s="1">
        <v>10234</v>
      </c>
      <c r="IB1" s="1">
        <v>10235</v>
      </c>
      <c r="IC1" s="1">
        <v>10236</v>
      </c>
      <c r="ID1" s="1">
        <v>10237</v>
      </c>
      <c r="IE1" s="1">
        <v>10238</v>
      </c>
      <c r="IF1" s="1">
        <v>10239</v>
      </c>
      <c r="IG1" s="1">
        <v>10240</v>
      </c>
      <c r="IH1" s="1">
        <v>10241</v>
      </c>
      <c r="II1" s="1">
        <v>10242</v>
      </c>
      <c r="IJ1" s="1">
        <v>10243</v>
      </c>
      <c r="IK1" s="1">
        <v>10244</v>
      </c>
      <c r="IL1" s="1">
        <v>10245</v>
      </c>
      <c r="IM1" s="1">
        <v>10246</v>
      </c>
      <c r="IN1" s="1">
        <v>10247</v>
      </c>
      <c r="IO1" s="1">
        <v>10248</v>
      </c>
      <c r="IP1" s="1">
        <v>10249</v>
      </c>
      <c r="IQ1" s="1">
        <v>10250</v>
      </c>
      <c r="IR1" s="1">
        <v>10251</v>
      </c>
      <c r="IS1" s="1">
        <v>10252</v>
      </c>
      <c r="IT1" s="1">
        <v>10253</v>
      </c>
      <c r="IU1" s="1">
        <v>10254</v>
      </c>
      <c r="IV1" s="1">
        <v>10255</v>
      </c>
      <c r="IW1" s="1">
        <v>10256</v>
      </c>
      <c r="IX1" s="1">
        <v>10257</v>
      </c>
      <c r="IY1" s="1">
        <v>10258</v>
      </c>
      <c r="IZ1" s="1">
        <v>10259</v>
      </c>
      <c r="JA1" s="1">
        <v>10260</v>
      </c>
      <c r="JB1" s="1">
        <v>10261</v>
      </c>
      <c r="JC1" s="1">
        <v>10262</v>
      </c>
      <c r="JD1" s="1">
        <v>10263</v>
      </c>
      <c r="JE1" s="1">
        <v>10264</v>
      </c>
      <c r="JF1" s="1">
        <v>10265</v>
      </c>
      <c r="JG1" s="1">
        <v>10266</v>
      </c>
      <c r="JH1" s="1">
        <v>10267</v>
      </c>
      <c r="JI1" s="1">
        <v>10268</v>
      </c>
      <c r="JJ1" s="1">
        <v>10269</v>
      </c>
      <c r="JK1" s="1">
        <v>10270</v>
      </c>
      <c r="JL1" s="1">
        <v>10271</v>
      </c>
      <c r="JM1" s="1">
        <v>10272</v>
      </c>
      <c r="JN1" s="1">
        <v>10273</v>
      </c>
      <c r="JO1" s="1">
        <v>10274</v>
      </c>
      <c r="JP1" s="1">
        <v>10275</v>
      </c>
      <c r="JQ1" s="1">
        <v>10276</v>
      </c>
      <c r="JR1" s="1">
        <v>10277</v>
      </c>
      <c r="JS1" s="1">
        <v>10278</v>
      </c>
      <c r="JT1" s="1">
        <v>10279</v>
      </c>
      <c r="JU1" s="1">
        <v>10280</v>
      </c>
      <c r="JV1" s="1">
        <v>10281</v>
      </c>
      <c r="JW1" s="1">
        <v>10282</v>
      </c>
      <c r="JX1" s="1">
        <v>10283</v>
      </c>
      <c r="JY1" s="1">
        <v>10284</v>
      </c>
      <c r="JZ1" s="1">
        <v>10285</v>
      </c>
      <c r="KA1" s="1">
        <v>10286</v>
      </c>
      <c r="KB1" s="1">
        <v>10287</v>
      </c>
      <c r="KC1" s="1">
        <v>10288</v>
      </c>
      <c r="KD1" s="1">
        <v>10289</v>
      </c>
      <c r="KE1" s="1">
        <v>10290</v>
      </c>
      <c r="KF1" s="1">
        <v>10291</v>
      </c>
      <c r="KG1" s="1">
        <v>10292</v>
      </c>
      <c r="KH1" s="1">
        <v>10293</v>
      </c>
      <c r="KI1" s="1">
        <v>10294</v>
      </c>
      <c r="KJ1" s="1">
        <v>10295</v>
      </c>
      <c r="KK1" s="1">
        <v>10296</v>
      </c>
      <c r="KL1" s="1">
        <v>10297</v>
      </c>
      <c r="KM1" s="1">
        <v>10298</v>
      </c>
      <c r="KN1" s="1">
        <v>10299</v>
      </c>
      <c r="KO1" s="1">
        <v>10300</v>
      </c>
      <c r="KP1" s="1">
        <v>10301</v>
      </c>
      <c r="KQ1" s="1">
        <v>10302</v>
      </c>
      <c r="KR1" s="1">
        <v>10303</v>
      </c>
      <c r="KS1" s="1">
        <v>10304</v>
      </c>
      <c r="KT1" s="1">
        <v>10305</v>
      </c>
      <c r="KU1" s="1">
        <v>10306</v>
      </c>
      <c r="KV1" s="1">
        <v>10307</v>
      </c>
      <c r="KW1" s="1">
        <v>10308</v>
      </c>
      <c r="KX1" s="1">
        <v>10309</v>
      </c>
      <c r="KY1" s="1">
        <v>10310</v>
      </c>
      <c r="KZ1" s="1">
        <v>10311</v>
      </c>
      <c r="LA1" s="1">
        <v>10312</v>
      </c>
      <c r="LB1" s="1">
        <v>10313</v>
      </c>
      <c r="LC1" s="1">
        <v>10314</v>
      </c>
      <c r="LD1" s="1">
        <v>10315</v>
      </c>
      <c r="LE1" s="1">
        <v>10316</v>
      </c>
      <c r="LF1" s="1">
        <v>10317</v>
      </c>
      <c r="LG1" s="1">
        <v>10318</v>
      </c>
      <c r="LH1" s="1">
        <v>10319</v>
      </c>
      <c r="LI1" s="1">
        <v>10320</v>
      </c>
      <c r="LJ1" s="1">
        <v>10321</v>
      </c>
      <c r="LK1" s="1">
        <v>10322</v>
      </c>
      <c r="LL1" s="1">
        <v>10323</v>
      </c>
      <c r="LM1" s="1">
        <v>10324</v>
      </c>
      <c r="LN1" s="1">
        <v>10325</v>
      </c>
      <c r="LO1" s="1">
        <v>10326</v>
      </c>
      <c r="LP1" s="1">
        <v>10327</v>
      </c>
      <c r="LQ1" s="1">
        <v>10328</v>
      </c>
      <c r="LR1" s="1">
        <v>10329</v>
      </c>
      <c r="LS1" s="1">
        <v>10330</v>
      </c>
      <c r="LT1" s="1">
        <v>10331</v>
      </c>
      <c r="LU1" s="1">
        <v>10332</v>
      </c>
      <c r="LV1" s="1">
        <v>10333</v>
      </c>
      <c r="LW1" s="1">
        <v>10334</v>
      </c>
      <c r="LX1" s="1">
        <v>10335</v>
      </c>
      <c r="LY1" s="1">
        <v>10336</v>
      </c>
      <c r="LZ1" s="1">
        <v>10337</v>
      </c>
      <c r="MA1" s="1">
        <v>10338</v>
      </c>
      <c r="MB1" s="1">
        <v>10339</v>
      </c>
      <c r="MC1" s="1">
        <v>10340</v>
      </c>
      <c r="MD1" s="1">
        <v>10341</v>
      </c>
      <c r="ME1" s="1">
        <v>10342</v>
      </c>
      <c r="MF1" s="1">
        <v>10343</v>
      </c>
      <c r="MG1" s="1">
        <v>10344</v>
      </c>
      <c r="MH1" s="1">
        <v>10345</v>
      </c>
      <c r="MI1" s="1">
        <v>10346</v>
      </c>
      <c r="MJ1" s="1">
        <v>10347</v>
      </c>
      <c r="MK1" s="1">
        <v>10348</v>
      </c>
      <c r="ML1" s="1">
        <v>10349</v>
      </c>
      <c r="MM1" s="1">
        <v>10350</v>
      </c>
      <c r="MN1" s="1">
        <v>10351</v>
      </c>
      <c r="MO1" s="1">
        <v>10352</v>
      </c>
      <c r="MP1" s="1">
        <v>10353</v>
      </c>
      <c r="MQ1" s="1">
        <v>10354</v>
      </c>
      <c r="MR1" s="1">
        <v>10355</v>
      </c>
      <c r="MS1" s="1">
        <v>10356</v>
      </c>
      <c r="MT1" s="1">
        <v>10357</v>
      </c>
      <c r="MU1" s="1">
        <v>10358</v>
      </c>
      <c r="MV1" s="1">
        <v>10359</v>
      </c>
      <c r="MW1" s="1">
        <v>10360</v>
      </c>
      <c r="MX1" s="1">
        <v>10361</v>
      </c>
      <c r="MY1" s="1">
        <v>10362</v>
      </c>
      <c r="MZ1" s="1">
        <v>10363</v>
      </c>
      <c r="NA1" s="1">
        <v>10364</v>
      </c>
      <c r="NB1" s="1">
        <v>10365</v>
      </c>
      <c r="NC1" s="1">
        <v>10366</v>
      </c>
      <c r="ND1" s="1">
        <v>10367</v>
      </c>
      <c r="NE1" s="1">
        <v>10368</v>
      </c>
      <c r="NF1" s="1">
        <v>10369</v>
      </c>
      <c r="NG1" s="1">
        <v>10370</v>
      </c>
      <c r="NH1" s="1">
        <v>10371</v>
      </c>
      <c r="NI1" s="1">
        <v>10372</v>
      </c>
      <c r="NJ1" s="1">
        <v>10373</v>
      </c>
      <c r="NK1" s="1">
        <v>10374</v>
      </c>
      <c r="NL1" s="1">
        <v>10375</v>
      </c>
      <c r="NM1" s="1">
        <v>10376</v>
      </c>
      <c r="NN1" s="1">
        <v>10377</v>
      </c>
      <c r="NO1" s="1">
        <v>10378</v>
      </c>
      <c r="NP1" s="1">
        <v>10379</v>
      </c>
      <c r="NQ1" s="1">
        <v>10380</v>
      </c>
      <c r="NR1" s="1">
        <v>10381</v>
      </c>
      <c r="NS1" s="1">
        <v>10382</v>
      </c>
      <c r="NT1" s="1">
        <v>10383</v>
      </c>
      <c r="NU1" s="1">
        <v>10384</v>
      </c>
      <c r="NV1" s="1">
        <v>10385</v>
      </c>
      <c r="NW1" s="1">
        <v>10386</v>
      </c>
      <c r="NX1" s="1">
        <v>10387</v>
      </c>
      <c r="NY1" s="1">
        <v>10388</v>
      </c>
      <c r="NZ1" s="1">
        <v>10389</v>
      </c>
      <c r="OA1" s="1">
        <v>10390</v>
      </c>
      <c r="OB1" s="1">
        <v>10391</v>
      </c>
      <c r="OC1" s="1">
        <v>10392</v>
      </c>
      <c r="OD1" s="1">
        <v>10393</v>
      </c>
      <c r="OE1" s="1">
        <v>10394</v>
      </c>
      <c r="OF1" s="1">
        <v>10395</v>
      </c>
      <c r="OG1" s="1">
        <v>10396</v>
      </c>
      <c r="OH1" s="1">
        <v>10397</v>
      </c>
      <c r="OI1" s="1">
        <v>10398</v>
      </c>
      <c r="OJ1" s="1">
        <v>10399</v>
      </c>
      <c r="OK1" s="1">
        <v>10400</v>
      </c>
      <c r="OL1" s="1">
        <v>10401</v>
      </c>
      <c r="OM1" s="1">
        <v>10402</v>
      </c>
      <c r="ON1" s="1">
        <v>10403</v>
      </c>
      <c r="OO1" s="1">
        <v>10404</v>
      </c>
      <c r="OP1" s="1">
        <v>10405</v>
      </c>
      <c r="OQ1" s="1">
        <v>10406</v>
      </c>
      <c r="OR1" s="1">
        <v>10407</v>
      </c>
      <c r="OS1" s="1">
        <v>10408</v>
      </c>
      <c r="OT1" s="1">
        <v>10409</v>
      </c>
      <c r="OU1" s="1">
        <v>10410</v>
      </c>
      <c r="OV1" s="1">
        <v>10411</v>
      </c>
      <c r="OW1" s="1">
        <v>10412</v>
      </c>
      <c r="OX1" s="1">
        <v>10413</v>
      </c>
      <c r="OY1" s="1">
        <v>10414</v>
      </c>
      <c r="OZ1" s="1">
        <v>10415</v>
      </c>
      <c r="PA1" s="1">
        <v>10416</v>
      </c>
      <c r="PB1" s="1">
        <v>10417</v>
      </c>
      <c r="PC1" s="1">
        <v>10418</v>
      </c>
      <c r="PD1" s="1">
        <v>10419</v>
      </c>
      <c r="PE1" s="1">
        <v>10420</v>
      </c>
      <c r="PF1" s="1">
        <v>10421</v>
      </c>
      <c r="PG1" s="1">
        <v>10422</v>
      </c>
      <c r="PH1" s="1">
        <v>10423</v>
      </c>
      <c r="PI1" s="1">
        <v>10424</v>
      </c>
      <c r="PJ1" s="1">
        <v>10425</v>
      </c>
      <c r="PK1" s="1">
        <v>10426</v>
      </c>
      <c r="PL1" s="1">
        <v>10427</v>
      </c>
      <c r="PM1" s="1">
        <v>10428</v>
      </c>
      <c r="PN1" s="1">
        <v>10429</v>
      </c>
      <c r="PO1" s="1">
        <v>10430</v>
      </c>
      <c r="PP1" s="1">
        <v>10431</v>
      </c>
      <c r="PQ1" s="1">
        <v>10432</v>
      </c>
      <c r="PR1" s="1">
        <v>10433</v>
      </c>
      <c r="PS1" s="1">
        <v>10434</v>
      </c>
      <c r="PT1" s="1">
        <v>10435</v>
      </c>
      <c r="PU1" s="1">
        <v>10436</v>
      </c>
      <c r="PV1" s="1">
        <v>10437</v>
      </c>
      <c r="PW1" s="1">
        <v>10438</v>
      </c>
      <c r="PX1" s="1">
        <v>10439</v>
      </c>
      <c r="PY1" s="1">
        <v>10440</v>
      </c>
      <c r="PZ1" s="1">
        <v>10441</v>
      </c>
      <c r="QA1" s="1">
        <v>10442</v>
      </c>
      <c r="QB1" s="1">
        <v>10443</v>
      </c>
      <c r="QC1" s="1">
        <v>10444</v>
      </c>
      <c r="QD1" s="1">
        <v>10445</v>
      </c>
      <c r="QE1" s="1">
        <v>10446</v>
      </c>
      <c r="QF1" s="1">
        <v>10447</v>
      </c>
      <c r="QG1" s="1">
        <v>10448</v>
      </c>
      <c r="QH1" s="1">
        <v>10449</v>
      </c>
      <c r="QI1" s="1">
        <v>10450</v>
      </c>
      <c r="QJ1" s="1">
        <v>10451</v>
      </c>
      <c r="QK1" s="1">
        <v>10452</v>
      </c>
      <c r="QL1" s="1">
        <v>10453</v>
      </c>
      <c r="QM1" s="1">
        <v>10454</v>
      </c>
      <c r="QN1" s="1">
        <v>10455</v>
      </c>
      <c r="QO1" s="1">
        <v>10456</v>
      </c>
      <c r="QP1" s="1">
        <v>10457</v>
      </c>
      <c r="QQ1" s="1">
        <v>10458</v>
      </c>
      <c r="QR1" s="1">
        <v>10459</v>
      </c>
      <c r="QS1" s="1">
        <v>10460</v>
      </c>
      <c r="QT1" s="1">
        <v>10461</v>
      </c>
      <c r="QU1" s="1">
        <v>10462</v>
      </c>
      <c r="QV1" s="1">
        <v>10463</v>
      </c>
      <c r="QW1" s="1">
        <v>10464</v>
      </c>
      <c r="QX1" s="1">
        <v>10465</v>
      </c>
      <c r="QY1" s="1">
        <v>10466</v>
      </c>
      <c r="QZ1" s="1">
        <v>10467</v>
      </c>
      <c r="RA1" s="1">
        <v>10468</v>
      </c>
      <c r="RB1" s="1">
        <v>10469</v>
      </c>
      <c r="RC1" s="1">
        <v>10470</v>
      </c>
      <c r="RD1" s="1">
        <v>10471</v>
      </c>
      <c r="RE1" s="1">
        <v>10472</v>
      </c>
      <c r="RF1" s="1">
        <v>10473</v>
      </c>
      <c r="RG1" s="1">
        <v>10474</v>
      </c>
      <c r="RH1" s="1">
        <v>10475</v>
      </c>
      <c r="RI1" s="1">
        <v>10476</v>
      </c>
      <c r="RJ1" s="1">
        <v>10477</v>
      </c>
      <c r="RK1" s="1">
        <v>10478</v>
      </c>
      <c r="RL1" s="1">
        <v>10479</v>
      </c>
      <c r="RM1" s="1">
        <v>10480</v>
      </c>
      <c r="RN1" s="1">
        <v>10481</v>
      </c>
      <c r="RO1" s="1">
        <v>10482</v>
      </c>
      <c r="RP1" s="1">
        <v>10483</v>
      </c>
      <c r="RQ1" s="1">
        <v>10484</v>
      </c>
      <c r="RR1" s="1">
        <v>10485</v>
      </c>
      <c r="RS1" s="1">
        <v>10486</v>
      </c>
      <c r="RT1" s="1">
        <v>10487</v>
      </c>
      <c r="RU1" s="1">
        <v>10488</v>
      </c>
      <c r="RV1" s="1">
        <v>10489</v>
      </c>
      <c r="RW1" s="1">
        <v>10490</v>
      </c>
      <c r="RX1" s="1">
        <v>10491</v>
      </c>
      <c r="RY1" s="1">
        <v>10492</v>
      </c>
      <c r="RZ1" s="1">
        <v>10493</v>
      </c>
      <c r="SA1" s="1">
        <v>10494</v>
      </c>
      <c r="SB1" s="1">
        <v>10495</v>
      </c>
      <c r="SC1" s="1">
        <v>10496</v>
      </c>
      <c r="SD1" s="1">
        <v>10497</v>
      </c>
      <c r="SE1" s="1">
        <v>10498</v>
      </c>
      <c r="SF1" s="1">
        <v>10499</v>
      </c>
      <c r="SG1" s="1">
        <v>10500</v>
      </c>
    </row>
    <row r="2" spans="1:501" x14ac:dyDescent="0.3">
      <c r="A2" s="3" t="s">
        <v>1</v>
      </c>
      <c r="B2" s="1">
        <v>1102</v>
      </c>
      <c r="C2" s="1">
        <v>1435</v>
      </c>
      <c r="D2" s="1">
        <v>1860</v>
      </c>
      <c r="E2" s="1">
        <v>1270</v>
      </c>
      <c r="F2" s="1">
        <v>1106</v>
      </c>
      <c r="G2" s="1">
        <v>1071</v>
      </c>
      <c r="H2" s="1">
        <v>1700</v>
      </c>
      <c r="I2" s="1">
        <v>1020</v>
      </c>
      <c r="J2" s="1">
        <v>1614</v>
      </c>
      <c r="K2" s="1">
        <v>1121</v>
      </c>
      <c r="L2" s="1">
        <v>1466</v>
      </c>
      <c r="M2" s="1">
        <v>1214</v>
      </c>
      <c r="N2" s="1">
        <v>1330</v>
      </c>
      <c r="O2" s="1">
        <v>1458</v>
      </c>
      <c r="P2" s="1">
        <v>1087</v>
      </c>
      <c r="Q2" s="1">
        <v>1372</v>
      </c>
      <c r="R2" s="1">
        <v>1099</v>
      </c>
      <c r="S2" s="1">
        <v>1871</v>
      </c>
      <c r="T2" s="1">
        <v>1663</v>
      </c>
      <c r="U2" s="1">
        <v>1130</v>
      </c>
      <c r="V2" s="1">
        <v>1661</v>
      </c>
      <c r="W2" s="1">
        <v>1308</v>
      </c>
      <c r="X2" s="1">
        <v>1769</v>
      </c>
      <c r="Y2" s="1">
        <v>1343</v>
      </c>
      <c r="Z2" s="1">
        <v>1491</v>
      </c>
      <c r="AA2" s="1">
        <v>1413</v>
      </c>
      <c r="AB2" s="1">
        <v>1805</v>
      </c>
      <c r="AC2" s="1">
        <v>1385</v>
      </c>
      <c r="AD2" s="1">
        <v>1191</v>
      </c>
      <c r="AE2" s="1">
        <v>1955</v>
      </c>
      <c r="AF2" s="1">
        <v>1276</v>
      </c>
      <c r="AG2" s="1">
        <v>1160</v>
      </c>
      <c r="AH2" s="1">
        <v>1459</v>
      </c>
      <c r="AI2" s="1">
        <v>1313</v>
      </c>
      <c r="AJ2" s="1">
        <v>1021</v>
      </c>
      <c r="AK2" s="1">
        <v>1252</v>
      </c>
      <c r="AL2" s="1">
        <v>1747</v>
      </c>
      <c r="AM2" s="1">
        <v>1856</v>
      </c>
      <c r="AN2" s="1">
        <v>1560</v>
      </c>
      <c r="AO2" s="1">
        <v>1474</v>
      </c>
      <c r="AP2" s="1">
        <v>1058</v>
      </c>
      <c r="AQ2" s="1">
        <v>1510</v>
      </c>
      <c r="AR2" s="1">
        <v>1681</v>
      </c>
      <c r="AS2" s="1">
        <v>1475</v>
      </c>
      <c r="AT2" s="1">
        <v>1699</v>
      </c>
      <c r="AU2" s="1">
        <v>1975</v>
      </c>
      <c r="AV2" s="1">
        <v>1782</v>
      </c>
      <c r="AW2" s="1">
        <v>1189</v>
      </c>
      <c r="AX2" s="1">
        <v>1957</v>
      </c>
      <c r="AY2" s="1">
        <v>1686</v>
      </c>
      <c r="AZ2" s="1">
        <v>1957</v>
      </c>
      <c r="BA2" s="1">
        <v>1562</v>
      </c>
      <c r="BB2" s="1">
        <v>1875</v>
      </c>
      <c r="BC2" s="1">
        <v>1566</v>
      </c>
      <c r="BD2" s="1">
        <v>1243</v>
      </c>
      <c r="BE2" s="1">
        <v>1831</v>
      </c>
      <c r="BF2" s="1">
        <v>1504</v>
      </c>
      <c r="BG2" s="1">
        <v>1130</v>
      </c>
      <c r="BH2" s="1">
        <v>1484</v>
      </c>
      <c r="BI2" s="1">
        <v>1818</v>
      </c>
      <c r="BJ2" s="1">
        <v>1646</v>
      </c>
      <c r="BK2" s="1">
        <v>1020</v>
      </c>
      <c r="BL2" s="1">
        <v>1840</v>
      </c>
      <c r="BM2" s="1">
        <v>1166</v>
      </c>
      <c r="BN2" s="1">
        <v>1273</v>
      </c>
      <c r="BO2" s="1">
        <v>1387</v>
      </c>
      <c r="BP2" s="1">
        <v>1600</v>
      </c>
      <c r="BQ2" s="1">
        <v>1315</v>
      </c>
      <c r="BR2" s="1">
        <v>1013</v>
      </c>
      <c r="BS2" s="1">
        <v>1241</v>
      </c>
      <c r="BT2" s="1">
        <v>1776</v>
      </c>
      <c r="BU2" s="1">
        <v>1345</v>
      </c>
      <c r="BV2" s="1">
        <v>1564</v>
      </c>
      <c r="BW2" s="1">
        <v>1897</v>
      </c>
      <c r="BX2" s="1">
        <v>1339</v>
      </c>
      <c r="BY2" s="1">
        <v>1091</v>
      </c>
      <c r="BZ2" s="1">
        <v>1366</v>
      </c>
      <c r="CA2" s="1">
        <v>1955</v>
      </c>
      <c r="CB2" s="1">
        <v>1454</v>
      </c>
      <c r="CC2" s="1">
        <v>1427</v>
      </c>
      <c r="CD2" s="1">
        <v>1508</v>
      </c>
      <c r="CE2" s="1">
        <v>1775</v>
      </c>
      <c r="CF2" s="1">
        <v>1942</v>
      </c>
      <c r="CG2" s="1">
        <v>1034</v>
      </c>
      <c r="CH2" s="1">
        <v>1205</v>
      </c>
      <c r="CI2" s="1">
        <v>1080</v>
      </c>
      <c r="CJ2" s="1">
        <v>1931</v>
      </c>
      <c r="CK2" s="1">
        <v>1561</v>
      </c>
      <c r="CL2" s="1">
        <v>1871</v>
      </c>
      <c r="CM2" s="1">
        <v>1387</v>
      </c>
      <c r="CN2" s="1">
        <v>1001</v>
      </c>
      <c r="CO2" s="1">
        <v>1389</v>
      </c>
      <c r="CP2" s="1">
        <v>1565</v>
      </c>
      <c r="CQ2" s="1">
        <v>1105</v>
      </c>
      <c r="CR2" s="1">
        <v>1771</v>
      </c>
      <c r="CS2" s="1">
        <v>1821</v>
      </c>
      <c r="CT2" s="1">
        <v>1476</v>
      </c>
      <c r="CU2" s="1">
        <v>1702</v>
      </c>
      <c r="CV2" s="1">
        <v>1401</v>
      </c>
      <c r="CW2" s="1">
        <v>1729</v>
      </c>
      <c r="CX2" s="1">
        <v>1555</v>
      </c>
      <c r="CY2" s="1">
        <v>1161</v>
      </c>
      <c r="CZ2" s="1">
        <v>1201</v>
      </c>
      <c r="DA2" s="1">
        <v>1957</v>
      </c>
      <c r="DB2" s="1">
        <v>1995</v>
      </c>
      <c r="DC2" s="1">
        <v>1269</v>
      </c>
      <c r="DD2" s="1">
        <v>1862</v>
      </c>
      <c r="DE2" s="1">
        <v>1815</v>
      </c>
      <c r="DF2" s="1">
        <v>1270</v>
      </c>
      <c r="DG2" s="1">
        <v>1455</v>
      </c>
      <c r="DH2" s="1">
        <v>1461</v>
      </c>
      <c r="DI2" s="1">
        <v>1726</v>
      </c>
      <c r="DJ2" s="1">
        <v>1251</v>
      </c>
      <c r="DK2" s="1">
        <v>1701</v>
      </c>
      <c r="DL2" s="1">
        <v>1295</v>
      </c>
      <c r="DM2" s="1">
        <v>1724</v>
      </c>
      <c r="DN2" s="1">
        <v>1719</v>
      </c>
      <c r="DO2" s="1">
        <v>1748</v>
      </c>
      <c r="DP2" s="1">
        <v>1337</v>
      </c>
      <c r="DQ2" s="1">
        <v>1878</v>
      </c>
      <c r="DR2" s="1">
        <v>1052</v>
      </c>
      <c r="DS2" s="1">
        <v>1791</v>
      </c>
      <c r="DT2" s="1">
        <v>1921</v>
      </c>
      <c r="DU2" s="1">
        <v>1216</v>
      </c>
      <c r="DV2" s="1">
        <v>1763</v>
      </c>
      <c r="DW2" s="1">
        <v>1187</v>
      </c>
      <c r="DX2" s="1">
        <v>1379</v>
      </c>
      <c r="DY2" s="1">
        <v>1492</v>
      </c>
      <c r="DZ2" s="1">
        <v>1040</v>
      </c>
      <c r="EA2" s="1">
        <v>1156</v>
      </c>
      <c r="EB2" s="1">
        <v>1014</v>
      </c>
      <c r="EC2" s="1">
        <v>1812</v>
      </c>
      <c r="ED2" s="1">
        <v>1064</v>
      </c>
      <c r="EE2" s="1">
        <v>1856</v>
      </c>
      <c r="EF2" s="1">
        <v>1838</v>
      </c>
      <c r="EG2" s="1">
        <v>1520</v>
      </c>
      <c r="EH2" s="1">
        <v>1343</v>
      </c>
      <c r="EI2" s="1">
        <v>1128</v>
      </c>
      <c r="EJ2" s="1">
        <v>1647</v>
      </c>
      <c r="EK2" s="1">
        <v>1471</v>
      </c>
      <c r="EL2" s="1">
        <v>1062</v>
      </c>
      <c r="EM2" s="1">
        <v>1138</v>
      </c>
      <c r="EN2" s="1">
        <v>1498</v>
      </c>
      <c r="EO2" s="1">
        <v>1592</v>
      </c>
      <c r="EP2" s="1">
        <v>1391</v>
      </c>
      <c r="EQ2" s="1">
        <v>1674</v>
      </c>
      <c r="ER2" s="1">
        <v>1418</v>
      </c>
      <c r="ES2" s="1">
        <v>1288</v>
      </c>
      <c r="ET2" s="1">
        <v>1378</v>
      </c>
      <c r="EU2" s="1">
        <v>1772</v>
      </c>
      <c r="EV2" s="1">
        <v>1489</v>
      </c>
      <c r="EW2" s="1">
        <v>1230</v>
      </c>
      <c r="EX2" s="1">
        <v>1040</v>
      </c>
      <c r="EY2" s="1">
        <v>1027</v>
      </c>
      <c r="EZ2" s="1">
        <v>1134</v>
      </c>
      <c r="FA2" s="1">
        <v>1200</v>
      </c>
      <c r="FB2" s="1">
        <v>1839</v>
      </c>
      <c r="FC2" s="1">
        <v>1779</v>
      </c>
      <c r="FD2" s="1">
        <v>1929</v>
      </c>
      <c r="FE2" s="1">
        <v>1032</v>
      </c>
      <c r="FF2" s="1">
        <v>1047</v>
      </c>
      <c r="FG2" s="1">
        <v>1502</v>
      </c>
      <c r="FH2" s="1">
        <v>1406</v>
      </c>
      <c r="FI2" s="1">
        <v>1573</v>
      </c>
      <c r="FJ2" s="1">
        <v>1727</v>
      </c>
      <c r="FK2" s="1">
        <v>1804</v>
      </c>
      <c r="FL2" s="1">
        <v>1098</v>
      </c>
      <c r="FM2" s="1">
        <v>1683</v>
      </c>
      <c r="FN2" s="1">
        <v>1871</v>
      </c>
      <c r="FO2" s="1">
        <v>1725</v>
      </c>
      <c r="FP2" s="1">
        <v>1986</v>
      </c>
      <c r="FQ2" s="1">
        <v>1546</v>
      </c>
      <c r="FR2" s="1">
        <v>1960</v>
      </c>
      <c r="FS2" s="1">
        <v>1738</v>
      </c>
      <c r="FT2" s="1">
        <v>1612</v>
      </c>
      <c r="FU2" s="1">
        <v>1942</v>
      </c>
      <c r="FV2" s="1">
        <v>1461</v>
      </c>
      <c r="FW2" s="1">
        <v>1642</v>
      </c>
      <c r="FX2" s="1">
        <v>1768</v>
      </c>
      <c r="FY2" s="1">
        <v>1004</v>
      </c>
      <c r="FZ2" s="1">
        <v>1217</v>
      </c>
      <c r="GA2" s="1">
        <v>1502</v>
      </c>
      <c r="GB2" s="1">
        <v>1766</v>
      </c>
      <c r="GC2" s="1">
        <v>1397</v>
      </c>
      <c r="GD2" s="1">
        <v>1870</v>
      </c>
      <c r="GE2" s="1">
        <v>1794</v>
      </c>
      <c r="GF2" s="1">
        <v>1392</v>
      </c>
      <c r="GG2" s="1">
        <v>1206</v>
      </c>
      <c r="GH2" s="1">
        <v>1014</v>
      </c>
      <c r="GI2" s="1">
        <v>1857</v>
      </c>
      <c r="GJ2" s="1">
        <v>1553</v>
      </c>
      <c r="GK2" s="1">
        <v>1891</v>
      </c>
      <c r="GL2" s="1">
        <v>1460</v>
      </c>
      <c r="GM2" s="1">
        <v>1690</v>
      </c>
      <c r="GN2" s="1">
        <v>1574</v>
      </c>
      <c r="GO2" s="1">
        <v>1863</v>
      </c>
      <c r="GP2" s="1">
        <v>1742</v>
      </c>
      <c r="GQ2" s="1">
        <v>1240</v>
      </c>
      <c r="GR2" s="1">
        <v>1563</v>
      </c>
      <c r="GS2" s="1">
        <v>1095</v>
      </c>
      <c r="GT2" s="1">
        <v>1899</v>
      </c>
      <c r="GU2" s="1">
        <v>1733</v>
      </c>
      <c r="GV2" s="1">
        <v>1484</v>
      </c>
      <c r="GW2" s="1">
        <v>1406</v>
      </c>
      <c r="GX2" s="1">
        <v>1230</v>
      </c>
      <c r="GY2" s="1">
        <v>1748</v>
      </c>
      <c r="GZ2" s="1">
        <v>1654</v>
      </c>
      <c r="HA2" s="1">
        <v>1170</v>
      </c>
      <c r="HB2" s="1">
        <v>1540</v>
      </c>
      <c r="HC2" s="1">
        <v>1035</v>
      </c>
      <c r="HD2" s="1">
        <v>1524</v>
      </c>
      <c r="HE2" s="1">
        <v>1159</v>
      </c>
      <c r="HF2" s="1">
        <v>1838</v>
      </c>
      <c r="HG2" s="1">
        <v>1698</v>
      </c>
      <c r="HH2" s="1">
        <v>1242</v>
      </c>
      <c r="HI2" s="1">
        <v>1085</v>
      </c>
      <c r="HJ2" s="1">
        <v>1795</v>
      </c>
      <c r="HK2" s="1">
        <v>1577</v>
      </c>
      <c r="HL2" s="1">
        <v>1681</v>
      </c>
      <c r="HM2" s="1">
        <v>1556</v>
      </c>
      <c r="HN2" s="1">
        <v>1573</v>
      </c>
      <c r="HO2" s="1">
        <v>1952</v>
      </c>
      <c r="HP2" s="1">
        <v>1645</v>
      </c>
      <c r="HQ2" s="1">
        <v>1795</v>
      </c>
      <c r="HR2" s="1">
        <v>1027</v>
      </c>
      <c r="HS2" s="1">
        <v>1619</v>
      </c>
      <c r="HT2" s="1">
        <v>1555</v>
      </c>
      <c r="HU2" s="1">
        <v>1339</v>
      </c>
      <c r="HV2" s="1">
        <v>1797</v>
      </c>
      <c r="HW2" s="1">
        <v>1957</v>
      </c>
      <c r="HX2" s="1">
        <v>1330</v>
      </c>
      <c r="HY2" s="1">
        <v>1639</v>
      </c>
      <c r="HZ2" s="1">
        <v>1505</v>
      </c>
      <c r="IA2" s="1">
        <v>1347</v>
      </c>
      <c r="IB2" s="1">
        <v>1472</v>
      </c>
      <c r="IC2" s="1">
        <v>1230</v>
      </c>
      <c r="ID2" s="1">
        <v>1189</v>
      </c>
      <c r="IE2" s="1">
        <v>1224</v>
      </c>
      <c r="IF2" s="1">
        <v>1384</v>
      </c>
      <c r="IG2" s="1">
        <v>1376</v>
      </c>
      <c r="IH2" s="1">
        <v>1282</v>
      </c>
      <c r="II2" s="1">
        <v>1957</v>
      </c>
      <c r="IJ2" s="1">
        <v>1632</v>
      </c>
      <c r="IK2" s="1">
        <v>1627</v>
      </c>
      <c r="IL2" s="1">
        <v>1972</v>
      </c>
      <c r="IM2" s="1">
        <v>1744</v>
      </c>
      <c r="IN2" s="1">
        <v>1258</v>
      </c>
      <c r="IO2" s="1">
        <v>1358</v>
      </c>
      <c r="IP2" s="1">
        <v>1709</v>
      </c>
      <c r="IQ2" s="1">
        <v>1455</v>
      </c>
      <c r="IR2" s="1">
        <v>1410</v>
      </c>
      <c r="IS2" s="1">
        <v>1648</v>
      </c>
      <c r="IT2" s="1">
        <v>1317</v>
      </c>
      <c r="IU2" s="1">
        <v>1676</v>
      </c>
      <c r="IV2" s="1">
        <v>1224</v>
      </c>
      <c r="IW2" s="1">
        <v>1818</v>
      </c>
      <c r="IX2" s="1">
        <v>1233</v>
      </c>
      <c r="IY2" s="1">
        <v>1683</v>
      </c>
      <c r="IZ2" s="1">
        <v>1663</v>
      </c>
      <c r="JA2" s="1">
        <v>1974</v>
      </c>
      <c r="JB2" s="1">
        <v>1826</v>
      </c>
      <c r="JC2" s="1">
        <v>1373</v>
      </c>
      <c r="JD2" s="1">
        <v>1671</v>
      </c>
      <c r="JE2" s="1">
        <v>1607</v>
      </c>
      <c r="JF2" s="1">
        <v>1471</v>
      </c>
      <c r="JG2" s="1">
        <v>1232</v>
      </c>
      <c r="JH2" s="1">
        <v>1691</v>
      </c>
      <c r="JI2" s="1">
        <v>1112</v>
      </c>
      <c r="JJ2" s="1">
        <v>1829</v>
      </c>
      <c r="JK2" s="1">
        <v>1496</v>
      </c>
      <c r="JL2" s="1">
        <v>1441</v>
      </c>
      <c r="JM2" s="1">
        <v>1563</v>
      </c>
      <c r="JN2" s="1">
        <v>1267</v>
      </c>
      <c r="JO2" s="1">
        <v>1509</v>
      </c>
      <c r="JP2" s="1">
        <v>1806</v>
      </c>
      <c r="JQ2" s="1">
        <v>1385</v>
      </c>
      <c r="JR2" s="1">
        <v>1386</v>
      </c>
      <c r="JS2" s="1">
        <v>1112</v>
      </c>
      <c r="JT2" s="1">
        <v>1612</v>
      </c>
      <c r="JU2" s="1">
        <v>1624</v>
      </c>
      <c r="JV2" s="1">
        <v>1951</v>
      </c>
      <c r="JW2" s="1">
        <v>1080</v>
      </c>
      <c r="JX2" s="1">
        <v>1698</v>
      </c>
      <c r="JY2" s="1">
        <v>1112</v>
      </c>
      <c r="JZ2" s="1">
        <v>1001</v>
      </c>
      <c r="KA2" s="1">
        <v>1641</v>
      </c>
      <c r="KB2" s="1">
        <v>1219</v>
      </c>
      <c r="KC2" s="1">
        <v>1565</v>
      </c>
      <c r="KD2" s="1">
        <v>1854</v>
      </c>
      <c r="KE2" s="1">
        <v>1996</v>
      </c>
      <c r="KF2" s="1">
        <v>1735</v>
      </c>
      <c r="KG2" s="1">
        <v>1224</v>
      </c>
      <c r="KH2" s="1">
        <v>1384</v>
      </c>
      <c r="KI2" s="1">
        <v>1402</v>
      </c>
      <c r="KJ2" s="1">
        <v>1637</v>
      </c>
      <c r="KK2" s="1">
        <v>1129</v>
      </c>
      <c r="KL2" s="1">
        <v>1052</v>
      </c>
      <c r="KM2" s="1">
        <v>1683</v>
      </c>
      <c r="KN2" s="1">
        <v>1729</v>
      </c>
      <c r="KO2" s="1">
        <v>1671</v>
      </c>
      <c r="KP2" s="1">
        <v>1709</v>
      </c>
      <c r="KQ2" s="1">
        <v>1415</v>
      </c>
      <c r="KR2" s="1">
        <v>1246</v>
      </c>
      <c r="KS2" s="1">
        <v>1835</v>
      </c>
      <c r="KT2" s="1">
        <v>1438</v>
      </c>
      <c r="KU2" s="1">
        <v>1202</v>
      </c>
      <c r="KV2" s="1">
        <v>1183</v>
      </c>
      <c r="KW2" s="1">
        <v>1122</v>
      </c>
      <c r="KX2" s="1">
        <v>1400</v>
      </c>
      <c r="KY2" s="1">
        <v>1766</v>
      </c>
      <c r="KZ2" s="1">
        <v>1293</v>
      </c>
      <c r="LA2" s="1">
        <v>1279</v>
      </c>
      <c r="LB2" s="1">
        <v>1836</v>
      </c>
      <c r="LC2" s="1">
        <v>1883</v>
      </c>
      <c r="LD2" s="1">
        <v>1609</v>
      </c>
      <c r="LE2" s="1">
        <v>1197</v>
      </c>
      <c r="LF2" s="1">
        <v>1981</v>
      </c>
      <c r="LG2" s="1">
        <v>1906</v>
      </c>
      <c r="LH2" s="1">
        <v>1510</v>
      </c>
      <c r="LI2" s="1">
        <v>1751</v>
      </c>
      <c r="LJ2" s="1">
        <v>1143</v>
      </c>
      <c r="LK2" s="1">
        <v>1608</v>
      </c>
      <c r="LL2" s="1">
        <v>1200</v>
      </c>
      <c r="LM2" s="1">
        <v>1123</v>
      </c>
      <c r="LN2" s="1">
        <v>1186</v>
      </c>
      <c r="LO2" s="1">
        <v>1325</v>
      </c>
      <c r="LP2" s="1">
        <v>1463</v>
      </c>
      <c r="LQ2" s="1">
        <v>1348</v>
      </c>
      <c r="LR2" s="1">
        <v>1770</v>
      </c>
      <c r="LS2" s="1">
        <v>1659</v>
      </c>
      <c r="LT2" s="1">
        <v>1763</v>
      </c>
      <c r="LU2" s="1">
        <v>1954</v>
      </c>
      <c r="LV2" s="1">
        <v>1931</v>
      </c>
      <c r="LW2" s="1">
        <v>1402</v>
      </c>
      <c r="LX2" s="1">
        <v>1345</v>
      </c>
      <c r="LY2" s="1">
        <v>1962</v>
      </c>
      <c r="LZ2" s="1">
        <v>1510</v>
      </c>
      <c r="MA2" s="1">
        <v>1146</v>
      </c>
      <c r="MB2" s="1">
        <v>1147</v>
      </c>
      <c r="MC2" s="1">
        <v>1863</v>
      </c>
      <c r="MD2" s="1">
        <v>1710</v>
      </c>
      <c r="ME2" s="1">
        <v>1819</v>
      </c>
      <c r="MF2" s="1">
        <v>1488</v>
      </c>
      <c r="MG2" s="1">
        <v>1928</v>
      </c>
      <c r="MH2" s="1">
        <v>1935</v>
      </c>
      <c r="MI2" s="1">
        <v>1639</v>
      </c>
      <c r="MJ2" s="1">
        <v>1550</v>
      </c>
      <c r="MK2" s="1">
        <v>1337</v>
      </c>
      <c r="ML2" s="1">
        <v>1871</v>
      </c>
      <c r="MM2" s="1">
        <v>1640</v>
      </c>
      <c r="MN2" s="1">
        <v>1778</v>
      </c>
      <c r="MO2" s="1">
        <v>1987</v>
      </c>
      <c r="MP2" s="1">
        <v>1952</v>
      </c>
      <c r="MQ2" s="1">
        <v>1472</v>
      </c>
      <c r="MR2" s="1">
        <v>1945</v>
      </c>
      <c r="MS2" s="1">
        <v>1150</v>
      </c>
      <c r="MT2" s="1">
        <v>1414</v>
      </c>
      <c r="MU2" s="1">
        <v>1989</v>
      </c>
      <c r="MV2" s="1">
        <v>1297</v>
      </c>
      <c r="MW2" s="1">
        <v>1610</v>
      </c>
      <c r="MX2" s="1">
        <v>1262</v>
      </c>
      <c r="MY2" s="1">
        <v>1763</v>
      </c>
      <c r="MZ2" s="1">
        <v>1143</v>
      </c>
      <c r="NA2" s="1">
        <v>1345</v>
      </c>
      <c r="NB2" s="1">
        <v>1623</v>
      </c>
      <c r="NC2" s="1">
        <v>1571</v>
      </c>
      <c r="ND2" s="1">
        <v>1880</v>
      </c>
      <c r="NE2" s="1">
        <v>1001</v>
      </c>
      <c r="NF2" s="1">
        <v>1896</v>
      </c>
      <c r="NG2" s="1">
        <v>1303</v>
      </c>
      <c r="NH2" s="1">
        <v>1253</v>
      </c>
      <c r="NI2" s="1">
        <v>1651</v>
      </c>
      <c r="NJ2" s="1">
        <v>1452</v>
      </c>
      <c r="NK2" s="1">
        <v>1036</v>
      </c>
      <c r="NL2" s="1">
        <v>1159</v>
      </c>
      <c r="NM2" s="1">
        <v>1008</v>
      </c>
      <c r="NN2" s="1">
        <v>1232</v>
      </c>
      <c r="NO2" s="1">
        <v>1098</v>
      </c>
      <c r="NP2" s="1">
        <v>1658</v>
      </c>
      <c r="NQ2" s="1">
        <v>1815</v>
      </c>
      <c r="NR2" s="1">
        <v>1207</v>
      </c>
      <c r="NS2" s="1">
        <v>1130</v>
      </c>
      <c r="NT2" s="1">
        <v>1403</v>
      </c>
      <c r="NU2" s="1">
        <v>1151</v>
      </c>
      <c r="NV2" s="1">
        <v>1053</v>
      </c>
      <c r="NW2" s="1">
        <v>1119</v>
      </c>
      <c r="NX2" s="1">
        <v>1672</v>
      </c>
      <c r="NY2" s="1">
        <v>1919</v>
      </c>
      <c r="NZ2" s="1">
        <v>1627</v>
      </c>
      <c r="OA2" s="1">
        <v>1586</v>
      </c>
      <c r="OB2" s="1">
        <v>1624</v>
      </c>
      <c r="OC2" s="1">
        <v>1967</v>
      </c>
      <c r="OD2" s="1">
        <v>1419</v>
      </c>
      <c r="OE2" s="1">
        <v>1421</v>
      </c>
      <c r="OF2" s="1">
        <v>1103</v>
      </c>
      <c r="OG2" s="1">
        <v>1851</v>
      </c>
      <c r="OH2" s="1">
        <v>1253</v>
      </c>
      <c r="OI2" s="1">
        <v>1226</v>
      </c>
      <c r="OJ2" s="1">
        <v>1111</v>
      </c>
      <c r="OK2" s="1">
        <v>1509</v>
      </c>
      <c r="OL2" s="1">
        <v>1472</v>
      </c>
      <c r="OM2" s="1">
        <v>1098</v>
      </c>
      <c r="ON2" s="1">
        <v>1152</v>
      </c>
      <c r="OO2" s="1">
        <v>1860</v>
      </c>
      <c r="OP2" s="1">
        <v>1913</v>
      </c>
      <c r="OQ2" s="1">
        <v>1895</v>
      </c>
      <c r="OR2" s="1">
        <v>1877</v>
      </c>
      <c r="OS2" s="1">
        <v>1337</v>
      </c>
      <c r="OT2" s="1">
        <v>1705</v>
      </c>
      <c r="OU2" s="1">
        <v>1821</v>
      </c>
      <c r="OV2" s="1">
        <v>1162</v>
      </c>
      <c r="OW2" s="1">
        <v>1719</v>
      </c>
      <c r="OX2" s="1">
        <v>1956</v>
      </c>
      <c r="OY2" s="1">
        <v>1680</v>
      </c>
      <c r="OZ2" s="1">
        <v>1995</v>
      </c>
      <c r="PA2" s="1">
        <v>1160</v>
      </c>
      <c r="PB2" s="1">
        <v>1579</v>
      </c>
      <c r="PC2" s="1">
        <v>1800</v>
      </c>
      <c r="PD2" s="1">
        <v>1397</v>
      </c>
      <c r="PE2" s="1">
        <v>1276</v>
      </c>
      <c r="PF2" s="1">
        <v>1815</v>
      </c>
      <c r="PG2" s="1">
        <v>1915</v>
      </c>
      <c r="PH2" s="1">
        <v>1503</v>
      </c>
      <c r="PI2" s="1">
        <v>1895</v>
      </c>
      <c r="PJ2" s="1">
        <v>1391</v>
      </c>
      <c r="PK2" s="1">
        <v>1134</v>
      </c>
      <c r="PL2" s="1">
        <v>1194</v>
      </c>
      <c r="PM2" s="1">
        <v>1400</v>
      </c>
      <c r="PN2" s="1">
        <v>1639</v>
      </c>
      <c r="PO2" s="1">
        <v>1032</v>
      </c>
      <c r="PP2" s="1">
        <v>1687</v>
      </c>
      <c r="PQ2" s="1">
        <v>1459</v>
      </c>
      <c r="PR2" s="1">
        <v>1954</v>
      </c>
      <c r="PS2" s="1">
        <v>1882</v>
      </c>
      <c r="PT2" s="1">
        <v>1469</v>
      </c>
      <c r="PU2" s="1">
        <v>1374</v>
      </c>
      <c r="PV2" s="1">
        <v>1021</v>
      </c>
      <c r="PW2" s="1">
        <v>1749</v>
      </c>
      <c r="PX2" s="1">
        <v>1669</v>
      </c>
      <c r="PY2" s="1">
        <v>1037</v>
      </c>
      <c r="PZ2" s="1">
        <v>1229</v>
      </c>
      <c r="QA2" s="1">
        <v>1364</v>
      </c>
      <c r="QB2" s="1">
        <v>1562</v>
      </c>
      <c r="QC2" s="1">
        <v>1437</v>
      </c>
      <c r="QD2" s="1">
        <v>1775</v>
      </c>
      <c r="QE2" s="1">
        <v>1282</v>
      </c>
      <c r="QF2" s="1">
        <v>1026</v>
      </c>
      <c r="QG2" s="1">
        <v>1225</v>
      </c>
      <c r="QH2" s="1">
        <v>1276</v>
      </c>
      <c r="QI2" s="1">
        <v>1797</v>
      </c>
      <c r="QJ2" s="1">
        <v>1608</v>
      </c>
      <c r="QK2" s="1">
        <v>1283</v>
      </c>
      <c r="QL2" s="1">
        <v>1878</v>
      </c>
      <c r="QM2" s="1">
        <v>1959</v>
      </c>
      <c r="QN2" s="1">
        <v>1480</v>
      </c>
      <c r="QO2" s="1">
        <v>1452</v>
      </c>
      <c r="QP2" s="1">
        <v>1828</v>
      </c>
      <c r="QQ2" s="1">
        <v>1815</v>
      </c>
      <c r="QR2" s="1">
        <v>1658</v>
      </c>
      <c r="QS2" s="1">
        <v>1515</v>
      </c>
      <c r="QT2" s="1">
        <v>1546</v>
      </c>
      <c r="QU2" s="1">
        <v>1191</v>
      </c>
      <c r="QV2" s="1">
        <v>1048</v>
      </c>
      <c r="QW2" s="1">
        <v>1511</v>
      </c>
      <c r="QX2" s="1">
        <v>1016</v>
      </c>
      <c r="QY2" s="1">
        <v>1171</v>
      </c>
      <c r="QZ2" s="1">
        <v>1219</v>
      </c>
      <c r="RA2" s="1">
        <v>1157</v>
      </c>
      <c r="RB2" s="1">
        <v>1476</v>
      </c>
      <c r="RC2" s="1">
        <v>1045</v>
      </c>
      <c r="RD2" s="1">
        <v>1372</v>
      </c>
      <c r="RE2" s="1">
        <v>1517</v>
      </c>
      <c r="RF2" s="1">
        <v>1098</v>
      </c>
      <c r="RG2" s="1">
        <v>1891</v>
      </c>
      <c r="RH2" s="1">
        <v>1744</v>
      </c>
      <c r="RI2" s="1">
        <v>1036</v>
      </c>
      <c r="RJ2" s="1">
        <v>1279</v>
      </c>
      <c r="RK2" s="1">
        <v>1348</v>
      </c>
      <c r="RL2" s="1">
        <v>1496</v>
      </c>
      <c r="RM2" s="1">
        <v>1301</v>
      </c>
      <c r="RN2" s="1">
        <v>1180</v>
      </c>
      <c r="RO2" s="1">
        <v>1606</v>
      </c>
      <c r="RP2" s="1">
        <v>1098</v>
      </c>
      <c r="RQ2" s="1">
        <v>1699</v>
      </c>
      <c r="RR2" s="1">
        <v>1992</v>
      </c>
      <c r="RS2" s="1">
        <v>1115</v>
      </c>
      <c r="RT2" s="1">
        <v>1190</v>
      </c>
      <c r="RU2" s="1">
        <v>1252</v>
      </c>
      <c r="RV2" s="1">
        <v>1980</v>
      </c>
      <c r="RW2" s="1">
        <v>1927</v>
      </c>
      <c r="RX2" s="1">
        <v>1982</v>
      </c>
      <c r="RY2" s="1">
        <v>1160</v>
      </c>
      <c r="RZ2" s="1">
        <v>1255</v>
      </c>
      <c r="SA2" s="1">
        <v>1322</v>
      </c>
      <c r="SB2" s="1">
        <v>1127</v>
      </c>
      <c r="SC2" s="1">
        <v>1017</v>
      </c>
      <c r="SD2" s="1">
        <v>1792</v>
      </c>
      <c r="SE2" s="1">
        <v>1734</v>
      </c>
      <c r="SF2" s="1">
        <v>1565</v>
      </c>
      <c r="SG2" s="1">
        <v>1569</v>
      </c>
    </row>
    <row r="3" spans="1:501" x14ac:dyDescent="0.3">
      <c r="A3" s="3" t="s">
        <v>2</v>
      </c>
      <c r="B3" s="2">
        <v>45197</v>
      </c>
      <c r="C3" s="2">
        <v>45199</v>
      </c>
      <c r="D3" s="2">
        <v>45109</v>
      </c>
      <c r="E3" s="2">
        <v>45079</v>
      </c>
      <c r="F3" s="2">
        <v>45241</v>
      </c>
      <c r="G3" s="2">
        <v>45260</v>
      </c>
      <c r="H3" s="2">
        <v>45050</v>
      </c>
      <c r="I3" s="2">
        <v>45040</v>
      </c>
      <c r="J3" s="2">
        <v>45204</v>
      </c>
      <c r="K3" s="2">
        <v>45139</v>
      </c>
      <c r="L3" s="2">
        <v>45098</v>
      </c>
      <c r="M3" s="2">
        <v>45214</v>
      </c>
      <c r="N3" s="2">
        <v>45100</v>
      </c>
      <c r="O3" s="2">
        <v>45039</v>
      </c>
      <c r="P3" s="2">
        <v>45048</v>
      </c>
      <c r="Q3" s="2">
        <v>44958</v>
      </c>
      <c r="R3" s="2">
        <v>45148</v>
      </c>
      <c r="S3" s="2">
        <v>45045</v>
      </c>
      <c r="T3" s="2">
        <v>44965</v>
      </c>
      <c r="U3" s="2">
        <v>45194</v>
      </c>
      <c r="V3" s="2">
        <v>45159</v>
      </c>
      <c r="W3" s="2">
        <v>44944</v>
      </c>
      <c r="X3" s="2">
        <v>45075</v>
      </c>
      <c r="Y3" s="2">
        <v>45075</v>
      </c>
      <c r="Z3" s="2">
        <v>45052</v>
      </c>
      <c r="AA3" s="2">
        <v>45228</v>
      </c>
      <c r="AB3" s="2">
        <v>45286</v>
      </c>
      <c r="AC3" s="2">
        <v>45164</v>
      </c>
      <c r="AD3" s="2">
        <v>45061</v>
      </c>
      <c r="AE3" s="2">
        <v>45077</v>
      </c>
      <c r="AF3" s="2">
        <v>45162</v>
      </c>
      <c r="AG3" s="2">
        <v>45150</v>
      </c>
      <c r="AH3" s="2">
        <v>45129</v>
      </c>
      <c r="AI3" s="2">
        <v>45182</v>
      </c>
      <c r="AJ3" s="2">
        <v>45012</v>
      </c>
      <c r="AK3" s="2">
        <v>45076</v>
      </c>
      <c r="AL3" s="2">
        <v>45161</v>
      </c>
      <c r="AM3" s="2">
        <v>45271</v>
      </c>
      <c r="AN3" s="2">
        <v>44948</v>
      </c>
      <c r="AO3" s="2">
        <v>45274</v>
      </c>
      <c r="AP3" s="2">
        <v>45211</v>
      </c>
      <c r="AQ3" s="2">
        <v>45195</v>
      </c>
      <c r="AR3" s="2">
        <v>45184</v>
      </c>
      <c r="AS3" s="2">
        <v>44955</v>
      </c>
      <c r="AT3" s="2">
        <v>45139</v>
      </c>
      <c r="AU3" s="2">
        <v>45209</v>
      </c>
      <c r="AV3" s="2">
        <v>44976</v>
      </c>
      <c r="AW3" s="2">
        <v>45021</v>
      </c>
      <c r="AX3" s="2">
        <v>45014</v>
      </c>
      <c r="AY3" s="2">
        <v>44970</v>
      </c>
      <c r="AZ3" s="2">
        <v>45204</v>
      </c>
      <c r="BA3" s="2">
        <v>45097</v>
      </c>
      <c r="BB3" s="2">
        <v>45115</v>
      </c>
      <c r="BC3" s="2">
        <v>45279</v>
      </c>
      <c r="BD3" s="2">
        <v>45110</v>
      </c>
      <c r="BE3" s="2">
        <v>44929</v>
      </c>
      <c r="BF3" s="2">
        <v>45117</v>
      </c>
      <c r="BG3" s="2">
        <v>45044</v>
      </c>
      <c r="BH3" s="2">
        <v>44945</v>
      </c>
      <c r="BI3" s="2">
        <v>44949</v>
      </c>
      <c r="BJ3" s="2">
        <v>44956</v>
      </c>
      <c r="BK3" s="2">
        <v>45221</v>
      </c>
      <c r="BL3" s="2">
        <v>45034</v>
      </c>
      <c r="BM3" s="2">
        <v>45207</v>
      </c>
      <c r="BN3" s="2">
        <v>45054</v>
      </c>
      <c r="BO3" s="2">
        <v>45155</v>
      </c>
      <c r="BP3" s="2">
        <v>45037</v>
      </c>
      <c r="BQ3" s="2">
        <v>45062</v>
      </c>
      <c r="BR3" s="2">
        <v>45288</v>
      </c>
      <c r="BS3" s="2">
        <v>45112</v>
      </c>
      <c r="BT3" s="2">
        <v>45070</v>
      </c>
      <c r="BU3" s="2">
        <v>44998</v>
      </c>
      <c r="BV3" s="2">
        <v>45055</v>
      </c>
      <c r="BW3" s="2">
        <v>45290</v>
      </c>
      <c r="BX3" s="2">
        <v>45187</v>
      </c>
      <c r="BY3" s="2">
        <v>44929</v>
      </c>
      <c r="BZ3" s="2">
        <v>45030</v>
      </c>
      <c r="CA3" s="2">
        <v>45150</v>
      </c>
      <c r="CB3" s="2">
        <v>45246</v>
      </c>
      <c r="CC3" s="2">
        <v>45288</v>
      </c>
      <c r="CD3" s="2">
        <v>45280</v>
      </c>
      <c r="CE3" s="2">
        <v>44936</v>
      </c>
      <c r="CF3" s="2">
        <v>45228</v>
      </c>
      <c r="CG3" s="2">
        <v>45157</v>
      </c>
      <c r="CH3" s="2">
        <v>45145</v>
      </c>
      <c r="CI3" s="2">
        <v>44992</v>
      </c>
      <c r="CJ3" s="2">
        <v>45038</v>
      </c>
      <c r="CK3" s="2">
        <v>44939</v>
      </c>
      <c r="CL3" s="2">
        <v>45012</v>
      </c>
      <c r="CM3" s="2">
        <v>45160</v>
      </c>
      <c r="CN3" s="2">
        <v>45016</v>
      </c>
      <c r="CO3" s="2">
        <v>45240</v>
      </c>
      <c r="CP3" s="2">
        <v>44980</v>
      </c>
      <c r="CQ3" s="2">
        <v>44938</v>
      </c>
      <c r="CR3" s="2">
        <v>45135</v>
      </c>
      <c r="CS3" s="2">
        <v>44940</v>
      </c>
      <c r="CT3" s="2">
        <v>45047</v>
      </c>
      <c r="CU3" s="2">
        <v>44946</v>
      </c>
      <c r="CV3" s="2">
        <v>45001</v>
      </c>
      <c r="CW3" s="2">
        <v>45169</v>
      </c>
      <c r="CX3" s="2">
        <v>45149</v>
      </c>
      <c r="CY3" s="2">
        <v>44996</v>
      </c>
      <c r="CZ3" s="2">
        <v>45238</v>
      </c>
      <c r="DA3" s="2">
        <v>45137</v>
      </c>
      <c r="DB3" s="2">
        <v>45027</v>
      </c>
      <c r="DC3" s="2">
        <v>45112</v>
      </c>
      <c r="DD3" s="2">
        <v>45058</v>
      </c>
      <c r="DE3" s="2">
        <v>45037</v>
      </c>
      <c r="DF3" s="2">
        <v>45058</v>
      </c>
      <c r="DG3" s="2">
        <v>44946</v>
      </c>
      <c r="DH3" s="2">
        <v>44950</v>
      </c>
      <c r="DI3" s="2">
        <v>45153</v>
      </c>
      <c r="DJ3" s="2">
        <v>45080</v>
      </c>
      <c r="DK3" s="2">
        <v>45219</v>
      </c>
      <c r="DL3" s="2">
        <v>45156</v>
      </c>
      <c r="DM3" s="2">
        <v>45236</v>
      </c>
      <c r="DN3" s="2">
        <v>45285</v>
      </c>
      <c r="DO3" s="2">
        <v>45128</v>
      </c>
      <c r="DP3" s="2">
        <v>44964</v>
      </c>
      <c r="DQ3" s="2">
        <v>45186</v>
      </c>
      <c r="DR3" s="2">
        <v>45114</v>
      </c>
      <c r="DS3" s="2">
        <v>44983</v>
      </c>
      <c r="DT3" s="2">
        <v>44946</v>
      </c>
      <c r="DU3" s="2">
        <v>45199</v>
      </c>
      <c r="DV3" s="2">
        <v>45045</v>
      </c>
      <c r="DW3" s="2">
        <v>44997</v>
      </c>
      <c r="DX3" s="2">
        <v>44930</v>
      </c>
      <c r="DY3" s="2">
        <v>45147</v>
      </c>
      <c r="DZ3" s="2">
        <v>44940</v>
      </c>
      <c r="EA3" s="2">
        <v>44929</v>
      </c>
      <c r="EB3" s="2">
        <v>45142</v>
      </c>
      <c r="EC3" s="2">
        <v>45155</v>
      </c>
      <c r="ED3" s="2">
        <v>45262</v>
      </c>
      <c r="EE3" s="2">
        <v>45112</v>
      </c>
      <c r="EF3" s="2">
        <v>44981</v>
      </c>
      <c r="EG3" s="2">
        <v>45180</v>
      </c>
      <c r="EH3" s="2">
        <v>44950</v>
      </c>
      <c r="EI3" s="2">
        <v>45088</v>
      </c>
      <c r="EJ3" s="2">
        <v>45084</v>
      </c>
      <c r="EK3" s="2">
        <v>45008</v>
      </c>
      <c r="EL3" s="2">
        <v>45085</v>
      </c>
      <c r="EM3" s="2">
        <v>45114</v>
      </c>
      <c r="EN3" s="2">
        <v>44986</v>
      </c>
      <c r="EO3" s="2">
        <v>45231</v>
      </c>
      <c r="EP3" s="2">
        <v>45245</v>
      </c>
      <c r="EQ3" s="2">
        <v>45137</v>
      </c>
      <c r="ER3" s="2">
        <v>45078</v>
      </c>
      <c r="ES3" s="2">
        <v>45035</v>
      </c>
      <c r="ET3" s="2">
        <v>45002</v>
      </c>
      <c r="EU3" s="2">
        <v>44956</v>
      </c>
      <c r="EV3" s="2">
        <v>45240</v>
      </c>
      <c r="EW3" s="2">
        <v>45043</v>
      </c>
      <c r="EX3" s="2">
        <v>45282</v>
      </c>
      <c r="EY3" s="2">
        <v>45118</v>
      </c>
      <c r="EZ3" s="2">
        <v>44945</v>
      </c>
      <c r="FA3" s="2">
        <v>45099</v>
      </c>
      <c r="FB3" s="2">
        <v>45154</v>
      </c>
      <c r="FC3" s="2">
        <v>45276</v>
      </c>
      <c r="FD3" s="2">
        <v>45109</v>
      </c>
      <c r="FE3" s="2">
        <v>45039</v>
      </c>
      <c r="FF3" s="2">
        <v>45109</v>
      </c>
      <c r="FG3" s="2">
        <v>45072</v>
      </c>
      <c r="FH3" s="2">
        <v>45245</v>
      </c>
      <c r="FI3" s="2">
        <v>45042</v>
      </c>
      <c r="FJ3" s="2">
        <v>45039</v>
      </c>
      <c r="FK3" s="2">
        <v>45177</v>
      </c>
      <c r="FL3" s="2">
        <v>45177</v>
      </c>
      <c r="FM3" s="2">
        <v>45229</v>
      </c>
      <c r="FN3" s="2">
        <v>45239</v>
      </c>
      <c r="FO3" s="2">
        <v>45044</v>
      </c>
      <c r="FP3" s="2">
        <v>45227</v>
      </c>
      <c r="FQ3" s="2">
        <v>45087</v>
      </c>
      <c r="FR3" s="2">
        <v>45124</v>
      </c>
      <c r="FS3" s="2">
        <v>45186</v>
      </c>
      <c r="FT3" s="2">
        <v>45074</v>
      </c>
      <c r="FU3" s="2">
        <v>45166</v>
      </c>
      <c r="FV3" s="2">
        <v>44973</v>
      </c>
      <c r="FW3" s="2">
        <v>45124</v>
      </c>
      <c r="FX3" s="2">
        <v>44973</v>
      </c>
      <c r="FY3" s="2">
        <v>45004</v>
      </c>
      <c r="FZ3" s="2">
        <v>45050</v>
      </c>
      <c r="GA3" s="2">
        <v>45001</v>
      </c>
      <c r="GB3" s="2">
        <v>45285</v>
      </c>
      <c r="GC3" s="2">
        <v>45063</v>
      </c>
      <c r="GD3" s="2">
        <v>45016</v>
      </c>
      <c r="GE3" s="2">
        <v>45251</v>
      </c>
      <c r="GF3" s="2">
        <v>44987</v>
      </c>
      <c r="GG3" s="2">
        <v>45064</v>
      </c>
      <c r="GH3" s="2">
        <v>44976</v>
      </c>
      <c r="GI3" s="2">
        <v>45185</v>
      </c>
      <c r="GJ3" s="2">
        <v>45033</v>
      </c>
      <c r="GK3" s="2">
        <v>45039</v>
      </c>
      <c r="GL3" s="2">
        <v>45276</v>
      </c>
      <c r="GM3" s="2">
        <v>45180</v>
      </c>
      <c r="GN3" s="2">
        <v>45044</v>
      </c>
      <c r="GO3" s="2">
        <v>45124</v>
      </c>
      <c r="GP3" s="2">
        <v>45263</v>
      </c>
      <c r="GQ3" s="2">
        <v>45291</v>
      </c>
      <c r="GR3" s="2">
        <v>44977</v>
      </c>
      <c r="GS3" s="2">
        <v>45171</v>
      </c>
      <c r="GT3" s="2">
        <v>44961</v>
      </c>
      <c r="GU3" s="2">
        <v>45228</v>
      </c>
      <c r="GV3" s="2">
        <v>44995</v>
      </c>
      <c r="GW3" s="2">
        <v>45275</v>
      </c>
      <c r="GX3" s="2">
        <v>45246</v>
      </c>
      <c r="GY3" s="2">
        <v>44975</v>
      </c>
      <c r="GZ3" s="2">
        <v>45000</v>
      </c>
      <c r="HA3" s="2">
        <v>45118</v>
      </c>
      <c r="HB3" s="2">
        <v>45187</v>
      </c>
      <c r="HC3" s="2">
        <v>45282</v>
      </c>
      <c r="HD3" s="2">
        <v>44996</v>
      </c>
      <c r="HE3" s="2">
        <v>45016</v>
      </c>
      <c r="HF3" s="2">
        <v>45186</v>
      </c>
      <c r="HG3" s="2">
        <v>45052</v>
      </c>
      <c r="HH3" s="2">
        <v>45157</v>
      </c>
      <c r="HI3" s="2">
        <v>45221</v>
      </c>
      <c r="HJ3" s="2">
        <v>45055</v>
      </c>
      <c r="HK3" s="2">
        <v>45206</v>
      </c>
      <c r="HL3" s="2">
        <v>45239</v>
      </c>
      <c r="HM3" s="2">
        <v>45026</v>
      </c>
      <c r="HN3" s="2">
        <v>45252</v>
      </c>
      <c r="HO3" s="2">
        <v>45223</v>
      </c>
      <c r="HP3" s="2">
        <v>45108</v>
      </c>
      <c r="HQ3" s="2">
        <v>45100</v>
      </c>
      <c r="HR3" s="2">
        <v>45242</v>
      </c>
      <c r="HS3" s="2">
        <v>45290</v>
      </c>
      <c r="HT3" s="2">
        <v>45114</v>
      </c>
      <c r="HU3" s="2">
        <v>44983</v>
      </c>
      <c r="HV3" s="2">
        <v>44957</v>
      </c>
      <c r="HW3" s="2">
        <v>45010</v>
      </c>
      <c r="HX3" s="2">
        <v>45078</v>
      </c>
      <c r="HY3" s="2">
        <v>44962</v>
      </c>
      <c r="HZ3" s="2">
        <v>45139</v>
      </c>
      <c r="IA3" s="2">
        <v>45290</v>
      </c>
      <c r="IB3" s="2">
        <v>45032</v>
      </c>
      <c r="IC3" s="2">
        <v>45268</v>
      </c>
      <c r="ID3" s="2">
        <v>45146</v>
      </c>
      <c r="IE3" s="2">
        <v>45089</v>
      </c>
      <c r="IF3" s="2">
        <v>45146</v>
      </c>
      <c r="IG3" s="2">
        <v>45196</v>
      </c>
      <c r="IH3" s="2">
        <v>45046</v>
      </c>
      <c r="II3" s="2">
        <v>45262</v>
      </c>
      <c r="IJ3" s="2">
        <v>45108</v>
      </c>
      <c r="IK3" s="2">
        <v>45032</v>
      </c>
      <c r="IL3" s="2">
        <v>45143</v>
      </c>
      <c r="IM3" s="2">
        <v>45131</v>
      </c>
      <c r="IN3" s="2">
        <v>44996</v>
      </c>
      <c r="IO3" s="2">
        <v>44970</v>
      </c>
      <c r="IP3" s="2">
        <v>45255</v>
      </c>
      <c r="IQ3" s="2">
        <v>45227</v>
      </c>
      <c r="IR3" s="2">
        <v>45154</v>
      </c>
      <c r="IS3" s="2">
        <v>45110</v>
      </c>
      <c r="IT3" s="2">
        <v>45033</v>
      </c>
      <c r="IU3" s="2">
        <v>45010</v>
      </c>
      <c r="IV3" s="2">
        <v>45264</v>
      </c>
      <c r="IW3" s="2">
        <v>45176</v>
      </c>
      <c r="IX3" s="2">
        <v>45289</v>
      </c>
      <c r="IY3" s="2">
        <v>44947</v>
      </c>
      <c r="IZ3" s="2">
        <v>45122</v>
      </c>
      <c r="JA3" s="2">
        <v>45104</v>
      </c>
      <c r="JB3" s="2">
        <v>44933</v>
      </c>
      <c r="JC3" s="2">
        <v>44996</v>
      </c>
      <c r="JD3" s="2">
        <v>45053</v>
      </c>
      <c r="JE3" s="2">
        <v>45086</v>
      </c>
      <c r="JF3" s="2">
        <v>45174</v>
      </c>
      <c r="JG3" s="2">
        <v>45129</v>
      </c>
      <c r="JH3" s="2">
        <v>45074</v>
      </c>
      <c r="JI3" s="2">
        <v>45069</v>
      </c>
      <c r="JJ3" s="2">
        <v>45125</v>
      </c>
      <c r="JK3" s="2">
        <v>45080</v>
      </c>
      <c r="JL3" s="2">
        <v>45068</v>
      </c>
      <c r="JM3" s="2">
        <v>45239</v>
      </c>
      <c r="JN3" s="2">
        <v>45091</v>
      </c>
      <c r="JO3" s="2">
        <v>45240</v>
      </c>
      <c r="JP3" s="2">
        <v>44947</v>
      </c>
      <c r="JQ3" s="2">
        <v>45008</v>
      </c>
      <c r="JR3" s="2">
        <v>44995</v>
      </c>
      <c r="JS3" s="2">
        <v>45057</v>
      </c>
      <c r="JT3" s="2">
        <v>45013</v>
      </c>
      <c r="JU3" s="2">
        <v>45144</v>
      </c>
      <c r="JV3" s="2">
        <v>45231</v>
      </c>
      <c r="JW3" s="2">
        <v>45271</v>
      </c>
      <c r="JX3" s="2">
        <v>45267</v>
      </c>
      <c r="JY3" s="2">
        <v>45087</v>
      </c>
      <c r="JZ3" s="2">
        <v>45104</v>
      </c>
      <c r="KA3" s="2">
        <v>45043</v>
      </c>
      <c r="KB3" s="2">
        <v>45122</v>
      </c>
      <c r="KC3" s="2">
        <v>45253</v>
      </c>
      <c r="KD3" s="2">
        <v>45012</v>
      </c>
      <c r="KE3" s="2">
        <v>45215</v>
      </c>
      <c r="KF3" s="2">
        <v>45007</v>
      </c>
      <c r="KG3" s="2">
        <v>45078</v>
      </c>
      <c r="KH3" s="2">
        <v>44987</v>
      </c>
      <c r="KI3" s="2">
        <v>44987</v>
      </c>
      <c r="KJ3" s="2">
        <v>45280</v>
      </c>
      <c r="KK3" s="2">
        <v>44954</v>
      </c>
      <c r="KL3" s="2">
        <v>44969</v>
      </c>
      <c r="KM3" s="2">
        <v>45095</v>
      </c>
      <c r="KN3" s="2">
        <v>45012</v>
      </c>
      <c r="KO3" s="2">
        <v>45103</v>
      </c>
      <c r="KP3" s="2">
        <v>44943</v>
      </c>
      <c r="KQ3" s="2">
        <v>45024</v>
      </c>
      <c r="KR3" s="2">
        <v>45124</v>
      </c>
      <c r="KS3" s="2">
        <v>45024</v>
      </c>
      <c r="KT3" s="2">
        <v>44991</v>
      </c>
      <c r="KU3" s="2">
        <v>45256</v>
      </c>
      <c r="KV3" s="2">
        <v>45267</v>
      </c>
      <c r="KW3" s="2">
        <v>44931</v>
      </c>
      <c r="KX3" s="2">
        <v>44928</v>
      </c>
      <c r="KY3" s="2">
        <v>44948</v>
      </c>
      <c r="KZ3" s="2">
        <v>45038</v>
      </c>
      <c r="LA3" s="2">
        <v>44983</v>
      </c>
      <c r="LB3" s="2">
        <v>44992</v>
      </c>
      <c r="LC3" s="2">
        <v>45256</v>
      </c>
      <c r="LD3" s="2">
        <v>45024</v>
      </c>
      <c r="LE3" s="2">
        <v>45070</v>
      </c>
      <c r="LF3" s="2">
        <v>45051</v>
      </c>
      <c r="LG3" s="2">
        <v>45093</v>
      </c>
      <c r="LH3" s="2">
        <v>45012</v>
      </c>
      <c r="LI3" s="2">
        <v>45002</v>
      </c>
      <c r="LJ3" s="2">
        <v>45270</v>
      </c>
      <c r="LK3" s="2">
        <v>45220</v>
      </c>
      <c r="LL3" s="2">
        <v>44985</v>
      </c>
      <c r="LM3" s="2">
        <v>45064</v>
      </c>
      <c r="LN3" s="2">
        <v>45025</v>
      </c>
      <c r="LO3" s="2">
        <v>45118</v>
      </c>
      <c r="LP3" s="2">
        <v>45169</v>
      </c>
      <c r="LQ3" s="2">
        <v>45245</v>
      </c>
      <c r="LR3" s="2">
        <v>44975</v>
      </c>
      <c r="LS3" s="2">
        <v>44958</v>
      </c>
      <c r="LT3" s="2">
        <v>45203</v>
      </c>
      <c r="LU3" s="2">
        <v>44946</v>
      </c>
      <c r="LV3" s="2">
        <v>45080</v>
      </c>
      <c r="LW3" s="2">
        <v>44994</v>
      </c>
      <c r="LX3" s="2">
        <v>45140</v>
      </c>
      <c r="LY3" s="2">
        <v>45069</v>
      </c>
      <c r="LZ3" s="2">
        <v>45158</v>
      </c>
      <c r="MA3" s="2">
        <v>45139</v>
      </c>
      <c r="MB3" s="2">
        <v>45005</v>
      </c>
      <c r="MC3" s="2">
        <v>45140</v>
      </c>
      <c r="MD3" s="2">
        <v>45042</v>
      </c>
      <c r="ME3" s="2">
        <v>45018</v>
      </c>
      <c r="MF3" s="2">
        <v>45196</v>
      </c>
      <c r="MG3" s="2">
        <v>45094</v>
      </c>
      <c r="MH3" s="2">
        <v>44984</v>
      </c>
      <c r="MI3" s="2">
        <v>45210</v>
      </c>
      <c r="MJ3" s="2">
        <v>44952</v>
      </c>
      <c r="MK3" s="2">
        <v>44992</v>
      </c>
      <c r="ML3" s="2">
        <v>45174</v>
      </c>
      <c r="MM3" s="2">
        <v>45180</v>
      </c>
      <c r="MN3" s="2">
        <v>44970</v>
      </c>
      <c r="MO3" s="2">
        <v>45023</v>
      </c>
      <c r="MP3" s="2">
        <v>44968</v>
      </c>
      <c r="MQ3" s="2">
        <v>45153</v>
      </c>
      <c r="MR3" s="2">
        <v>45188</v>
      </c>
      <c r="MS3" s="2">
        <v>45093</v>
      </c>
      <c r="MT3" s="2">
        <v>45205</v>
      </c>
      <c r="MU3" s="2">
        <v>45015</v>
      </c>
      <c r="MV3" s="2">
        <v>45104</v>
      </c>
      <c r="MW3" s="2">
        <v>45123</v>
      </c>
      <c r="MX3" s="2">
        <v>45233</v>
      </c>
      <c r="MY3" s="2">
        <v>45193</v>
      </c>
      <c r="MZ3" s="2">
        <v>45194</v>
      </c>
      <c r="NA3" s="2">
        <v>45000</v>
      </c>
      <c r="NB3" s="2">
        <v>44934</v>
      </c>
      <c r="NC3" s="2">
        <v>45223</v>
      </c>
      <c r="ND3" s="2">
        <v>45090</v>
      </c>
      <c r="NE3" s="2">
        <v>45011</v>
      </c>
      <c r="NF3" s="2">
        <v>44998</v>
      </c>
      <c r="NG3" s="2">
        <v>44981</v>
      </c>
      <c r="NH3" s="2">
        <v>44973</v>
      </c>
      <c r="NI3" s="2">
        <v>45164</v>
      </c>
      <c r="NJ3" s="2">
        <v>45030</v>
      </c>
      <c r="NK3" s="2">
        <v>45136</v>
      </c>
      <c r="NL3" s="2">
        <v>44968</v>
      </c>
      <c r="NM3" s="2">
        <v>45242</v>
      </c>
      <c r="NN3" s="2">
        <v>45194</v>
      </c>
      <c r="NO3" s="2">
        <v>45189</v>
      </c>
      <c r="NP3" s="2">
        <v>45262</v>
      </c>
      <c r="NQ3" s="2">
        <v>45291</v>
      </c>
      <c r="NR3" s="2">
        <v>45185</v>
      </c>
      <c r="NS3" s="2">
        <v>45209</v>
      </c>
      <c r="NT3" s="2">
        <v>45040</v>
      </c>
      <c r="NU3" s="2">
        <v>45289</v>
      </c>
      <c r="NV3" s="2">
        <v>44966</v>
      </c>
      <c r="NW3" s="2">
        <v>45146</v>
      </c>
      <c r="NX3" s="2">
        <v>45055</v>
      </c>
      <c r="NY3" s="2">
        <v>44934</v>
      </c>
      <c r="NZ3" s="2">
        <v>45027</v>
      </c>
      <c r="OA3" s="2">
        <v>45102</v>
      </c>
      <c r="OB3" s="2">
        <v>45033</v>
      </c>
      <c r="OC3" s="2">
        <v>45027</v>
      </c>
      <c r="OD3" s="2">
        <v>45186</v>
      </c>
      <c r="OE3" s="2">
        <v>45172</v>
      </c>
      <c r="OF3" s="2">
        <v>45201</v>
      </c>
      <c r="OG3" s="2">
        <v>44958</v>
      </c>
      <c r="OH3" s="2">
        <v>45063</v>
      </c>
      <c r="OI3" s="2">
        <v>44938</v>
      </c>
      <c r="OJ3" s="2">
        <v>45228</v>
      </c>
      <c r="OK3" s="2">
        <v>44942</v>
      </c>
      <c r="OL3" s="2">
        <v>45055</v>
      </c>
      <c r="OM3" s="2">
        <v>44989</v>
      </c>
      <c r="ON3" s="2">
        <v>45035</v>
      </c>
      <c r="OO3" s="2">
        <v>44947</v>
      </c>
      <c r="OP3" s="2">
        <v>45084</v>
      </c>
      <c r="OQ3" s="2">
        <v>45195</v>
      </c>
      <c r="OR3" s="2">
        <v>45088</v>
      </c>
      <c r="OS3" s="2">
        <v>45186</v>
      </c>
      <c r="OT3" s="2">
        <v>45028</v>
      </c>
      <c r="OU3" s="2">
        <v>45149</v>
      </c>
      <c r="OV3" s="2">
        <v>44985</v>
      </c>
      <c r="OW3" s="2">
        <v>45173</v>
      </c>
      <c r="OX3" s="2">
        <v>45054</v>
      </c>
      <c r="OY3" s="2">
        <v>45209</v>
      </c>
      <c r="OZ3" s="2">
        <v>45251</v>
      </c>
      <c r="PA3" s="2">
        <v>44951</v>
      </c>
      <c r="PB3" s="2">
        <v>45057</v>
      </c>
      <c r="PC3" s="2">
        <v>45279</v>
      </c>
      <c r="PD3" s="2">
        <v>45122</v>
      </c>
      <c r="PE3" s="2">
        <v>45207</v>
      </c>
      <c r="PF3" s="2">
        <v>45080</v>
      </c>
      <c r="PG3" s="2">
        <v>45059</v>
      </c>
      <c r="PH3" s="2">
        <v>45153</v>
      </c>
      <c r="PI3" s="2">
        <v>45115</v>
      </c>
      <c r="PJ3" s="2">
        <v>45191</v>
      </c>
      <c r="PK3" s="2">
        <v>45060</v>
      </c>
      <c r="PL3" s="2">
        <v>45137</v>
      </c>
      <c r="PM3" s="2">
        <v>44986</v>
      </c>
      <c r="PN3" s="2">
        <v>45290</v>
      </c>
      <c r="PO3" s="2">
        <v>45290</v>
      </c>
      <c r="PP3" s="2">
        <v>45139</v>
      </c>
      <c r="PQ3" s="2">
        <v>45142</v>
      </c>
      <c r="PR3" s="2">
        <v>45152</v>
      </c>
      <c r="PS3" s="2">
        <v>45057</v>
      </c>
      <c r="PT3" s="2">
        <v>45002</v>
      </c>
      <c r="PU3" s="2">
        <v>45212</v>
      </c>
      <c r="PV3" s="2">
        <v>45203</v>
      </c>
      <c r="PW3" s="2">
        <v>45082</v>
      </c>
      <c r="PX3" s="2">
        <v>45174</v>
      </c>
      <c r="PY3" s="2">
        <v>45144</v>
      </c>
      <c r="PZ3" s="2">
        <v>45116</v>
      </c>
      <c r="QA3" s="2">
        <v>45089</v>
      </c>
      <c r="QB3" s="2">
        <v>45106</v>
      </c>
      <c r="QC3" s="2">
        <v>44960</v>
      </c>
      <c r="QD3" s="2">
        <v>44967</v>
      </c>
      <c r="QE3" s="2">
        <v>45233</v>
      </c>
      <c r="QF3" s="2">
        <v>45264</v>
      </c>
      <c r="QG3" s="2">
        <v>45240</v>
      </c>
      <c r="QH3" s="2">
        <v>45001</v>
      </c>
      <c r="QI3" s="2">
        <v>45205</v>
      </c>
      <c r="QJ3" s="2">
        <v>45102</v>
      </c>
      <c r="QK3" s="2">
        <v>45076</v>
      </c>
      <c r="QL3" s="2">
        <v>45199</v>
      </c>
      <c r="QM3" s="2">
        <v>45251</v>
      </c>
      <c r="QN3" s="2">
        <v>45034</v>
      </c>
      <c r="QO3" s="2">
        <v>45065</v>
      </c>
      <c r="QP3" s="2">
        <v>45276</v>
      </c>
      <c r="QQ3" s="2">
        <v>45197</v>
      </c>
      <c r="QR3" s="2">
        <v>45273</v>
      </c>
      <c r="QS3" s="2">
        <v>45215</v>
      </c>
      <c r="QT3" s="2">
        <v>45138</v>
      </c>
      <c r="QU3" s="2">
        <v>45198</v>
      </c>
      <c r="QV3" s="2">
        <v>44992</v>
      </c>
      <c r="QW3" s="2">
        <v>45174</v>
      </c>
      <c r="QX3" s="2">
        <v>45082</v>
      </c>
      <c r="QY3" s="2">
        <v>44973</v>
      </c>
      <c r="QZ3" s="2">
        <v>45127</v>
      </c>
      <c r="RA3" s="2">
        <v>45074</v>
      </c>
      <c r="RB3" s="2">
        <v>45050</v>
      </c>
      <c r="RC3" s="2">
        <v>44927</v>
      </c>
      <c r="RD3" s="2">
        <v>45173</v>
      </c>
      <c r="RE3" s="2">
        <v>45269</v>
      </c>
      <c r="RF3" s="2">
        <v>45054</v>
      </c>
      <c r="RG3" s="2">
        <v>45117</v>
      </c>
      <c r="RH3" s="2">
        <v>44993</v>
      </c>
      <c r="RI3" s="2">
        <v>44930</v>
      </c>
      <c r="RJ3" s="2">
        <v>45229</v>
      </c>
      <c r="RK3" s="2">
        <v>45220</v>
      </c>
      <c r="RL3" s="2">
        <v>45069</v>
      </c>
      <c r="RM3" s="2">
        <v>45117</v>
      </c>
      <c r="RN3" s="2">
        <v>44947</v>
      </c>
      <c r="RO3" s="2">
        <v>45153</v>
      </c>
      <c r="RP3" s="2">
        <v>45239</v>
      </c>
      <c r="RQ3" s="2">
        <v>45043</v>
      </c>
      <c r="RR3" s="2">
        <v>45228</v>
      </c>
      <c r="RS3" s="2">
        <v>45068</v>
      </c>
      <c r="RT3" s="2">
        <v>44965</v>
      </c>
      <c r="RU3" s="2">
        <v>45281</v>
      </c>
      <c r="RV3" s="2">
        <v>45178</v>
      </c>
      <c r="RW3" s="2">
        <v>45259</v>
      </c>
      <c r="RX3" s="2">
        <v>45133</v>
      </c>
      <c r="RY3" s="2">
        <v>45136</v>
      </c>
      <c r="RZ3" s="2">
        <v>45041</v>
      </c>
      <c r="SA3" s="2">
        <v>45151</v>
      </c>
      <c r="SB3" s="2">
        <v>45060</v>
      </c>
      <c r="SC3" s="2">
        <v>45177</v>
      </c>
      <c r="SD3" s="2">
        <v>45145</v>
      </c>
      <c r="SE3" s="2">
        <v>45017</v>
      </c>
      <c r="SF3" s="2">
        <v>45280</v>
      </c>
      <c r="SG3" s="2">
        <v>44972</v>
      </c>
    </row>
    <row r="4" spans="1:501" x14ac:dyDescent="0.3">
      <c r="A4" s="3" t="s">
        <v>3</v>
      </c>
      <c r="B4" s="1" t="s">
        <v>10</v>
      </c>
      <c r="C4" s="1" t="s">
        <v>15</v>
      </c>
      <c r="D4" s="1" t="s">
        <v>10</v>
      </c>
      <c r="E4" s="1" t="s">
        <v>21</v>
      </c>
      <c r="F4" s="1" t="s">
        <v>24</v>
      </c>
      <c r="G4" s="1" t="s">
        <v>26</v>
      </c>
      <c r="H4" s="1" t="s">
        <v>21</v>
      </c>
      <c r="I4" s="1" t="s">
        <v>31</v>
      </c>
      <c r="J4" s="1" t="s">
        <v>10</v>
      </c>
      <c r="K4" s="1" t="s">
        <v>21</v>
      </c>
      <c r="L4" s="1" t="s">
        <v>21</v>
      </c>
      <c r="M4" s="1" t="s">
        <v>31</v>
      </c>
      <c r="N4" s="1" t="s">
        <v>11</v>
      </c>
      <c r="O4" s="1" t="s">
        <v>24</v>
      </c>
      <c r="P4" s="1" t="s">
        <v>26</v>
      </c>
      <c r="Q4" s="1" t="s">
        <v>15</v>
      </c>
      <c r="R4" s="1" t="s">
        <v>11</v>
      </c>
      <c r="S4" s="1" t="s">
        <v>10</v>
      </c>
      <c r="T4" s="1" t="s">
        <v>21</v>
      </c>
      <c r="U4" s="1" t="s">
        <v>31</v>
      </c>
      <c r="V4" s="1" t="s">
        <v>31</v>
      </c>
      <c r="W4" s="1" t="s">
        <v>24</v>
      </c>
      <c r="X4" s="1" t="s">
        <v>11</v>
      </c>
      <c r="Y4" s="1" t="s">
        <v>15</v>
      </c>
      <c r="Z4" s="1" t="s">
        <v>24</v>
      </c>
      <c r="AA4" s="1" t="s">
        <v>21</v>
      </c>
      <c r="AB4" s="1" t="s">
        <v>24</v>
      </c>
      <c r="AC4" s="1" t="s">
        <v>26</v>
      </c>
      <c r="AD4" s="1" t="s">
        <v>31</v>
      </c>
      <c r="AE4" s="1" t="s">
        <v>31</v>
      </c>
      <c r="AF4" s="1" t="s">
        <v>10</v>
      </c>
      <c r="AG4" s="1" t="s">
        <v>10</v>
      </c>
      <c r="AH4" s="1" t="s">
        <v>15</v>
      </c>
      <c r="AI4" s="1" t="s">
        <v>21</v>
      </c>
      <c r="AJ4" s="1" t="s">
        <v>26</v>
      </c>
      <c r="AK4" s="1" t="s">
        <v>11</v>
      </c>
      <c r="AL4" s="1" t="s">
        <v>24</v>
      </c>
      <c r="AM4" s="1" t="s">
        <v>15</v>
      </c>
      <c r="AN4" s="1" t="s">
        <v>21</v>
      </c>
      <c r="AO4" s="1" t="s">
        <v>10</v>
      </c>
      <c r="AP4" s="1" t="s">
        <v>24</v>
      </c>
      <c r="AQ4" s="1" t="s">
        <v>10</v>
      </c>
      <c r="AR4" s="1" t="s">
        <v>24</v>
      </c>
      <c r="AS4" s="1" t="s">
        <v>11</v>
      </c>
      <c r="AT4" s="1" t="s">
        <v>21</v>
      </c>
      <c r="AU4" s="1" t="s">
        <v>24</v>
      </c>
      <c r="AV4" s="1" t="s">
        <v>26</v>
      </c>
      <c r="AW4" s="1" t="s">
        <v>15</v>
      </c>
      <c r="AX4" s="1" t="s">
        <v>31</v>
      </c>
      <c r="AY4" s="1" t="s">
        <v>26</v>
      </c>
      <c r="AZ4" s="1" t="s">
        <v>26</v>
      </c>
      <c r="BA4" s="1" t="s">
        <v>15</v>
      </c>
      <c r="BB4" s="1" t="s">
        <v>31</v>
      </c>
      <c r="BC4" s="1" t="s">
        <v>26</v>
      </c>
      <c r="BD4" s="1" t="s">
        <v>24</v>
      </c>
      <c r="BE4" s="1" t="s">
        <v>24</v>
      </c>
      <c r="BF4" s="1" t="s">
        <v>24</v>
      </c>
      <c r="BG4" s="1" t="s">
        <v>31</v>
      </c>
      <c r="BH4" s="1" t="s">
        <v>26</v>
      </c>
      <c r="BI4" s="1" t="s">
        <v>31</v>
      </c>
      <c r="BJ4" s="1" t="s">
        <v>24</v>
      </c>
      <c r="BK4" s="1" t="s">
        <v>15</v>
      </c>
      <c r="BL4" s="1" t="s">
        <v>26</v>
      </c>
      <c r="BM4" s="1" t="s">
        <v>26</v>
      </c>
      <c r="BN4" s="1" t="s">
        <v>10</v>
      </c>
      <c r="BO4" s="1" t="s">
        <v>10</v>
      </c>
      <c r="BP4" s="1" t="s">
        <v>11</v>
      </c>
      <c r="BQ4" s="1" t="s">
        <v>21</v>
      </c>
      <c r="BR4" s="1" t="s">
        <v>10</v>
      </c>
      <c r="BS4" s="1" t="s">
        <v>31</v>
      </c>
      <c r="BT4" s="1" t="s">
        <v>10</v>
      </c>
      <c r="BU4" s="1" t="s">
        <v>11</v>
      </c>
      <c r="BV4" s="1" t="s">
        <v>26</v>
      </c>
      <c r="BW4" s="1" t="s">
        <v>11</v>
      </c>
      <c r="BX4" s="1" t="s">
        <v>26</v>
      </c>
      <c r="BY4" s="1" t="s">
        <v>15</v>
      </c>
      <c r="BZ4" s="1" t="s">
        <v>15</v>
      </c>
      <c r="CA4" s="1" t="s">
        <v>26</v>
      </c>
      <c r="CB4" s="1" t="s">
        <v>21</v>
      </c>
      <c r="CC4" s="1" t="s">
        <v>10</v>
      </c>
      <c r="CD4" s="1" t="s">
        <v>31</v>
      </c>
      <c r="CE4" s="1" t="s">
        <v>31</v>
      </c>
      <c r="CF4" s="1" t="s">
        <v>24</v>
      </c>
      <c r="CG4" s="1" t="s">
        <v>26</v>
      </c>
      <c r="CH4" s="1" t="s">
        <v>31</v>
      </c>
      <c r="CI4" s="1" t="s">
        <v>21</v>
      </c>
      <c r="CJ4" s="1" t="s">
        <v>26</v>
      </c>
      <c r="CK4" s="1" t="s">
        <v>21</v>
      </c>
      <c r="CL4" s="1" t="s">
        <v>31</v>
      </c>
      <c r="CM4" s="1" t="s">
        <v>31</v>
      </c>
      <c r="CN4" s="1" t="s">
        <v>24</v>
      </c>
      <c r="CO4" s="1" t="s">
        <v>31</v>
      </c>
      <c r="CP4" s="1" t="s">
        <v>26</v>
      </c>
      <c r="CQ4" s="1" t="s">
        <v>15</v>
      </c>
      <c r="CR4" s="1" t="s">
        <v>26</v>
      </c>
      <c r="CS4" s="1" t="s">
        <v>26</v>
      </c>
      <c r="CT4" s="1" t="s">
        <v>24</v>
      </c>
      <c r="CU4" s="1" t="s">
        <v>24</v>
      </c>
      <c r="CV4" s="1" t="s">
        <v>31</v>
      </c>
      <c r="CW4" s="1" t="s">
        <v>11</v>
      </c>
      <c r="CX4" s="1" t="s">
        <v>11</v>
      </c>
      <c r="CY4" s="1" t="s">
        <v>24</v>
      </c>
      <c r="CZ4" s="1" t="s">
        <v>31</v>
      </c>
      <c r="DA4" s="1" t="s">
        <v>11</v>
      </c>
      <c r="DB4" s="1" t="s">
        <v>31</v>
      </c>
      <c r="DC4" s="1" t="s">
        <v>31</v>
      </c>
      <c r="DD4" s="1" t="s">
        <v>31</v>
      </c>
      <c r="DE4" s="1" t="s">
        <v>10</v>
      </c>
      <c r="DF4" s="1" t="s">
        <v>26</v>
      </c>
      <c r="DG4" s="1" t="s">
        <v>31</v>
      </c>
      <c r="DH4" s="1" t="s">
        <v>10</v>
      </c>
      <c r="DI4" s="1" t="s">
        <v>24</v>
      </c>
      <c r="DJ4" s="1" t="s">
        <v>11</v>
      </c>
      <c r="DK4" s="1" t="s">
        <v>26</v>
      </c>
      <c r="DL4" s="1" t="s">
        <v>15</v>
      </c>
      <c r="DM4" s="1" t="s">
        <v>11</v>
      </c>
      <c r="DN4" s="1" t="s">
        <v>26</v>
      </c>
      <c r="DO4" s="1" t="s">
        <v>15</v>
      </c>
      <c r="DP4" s="1" t="s">
        <v>11</v>
      </c>
      <c r="DQ4" s="1" t="s">
        <v>26</v>
      </c>
      <c r="DR4" s="1" t="s">
        <v>11</v>
      </c>
      <c r="DS4" s="1" t="s">
        <v>11</v>
      </c>
      <c r="DT4" s="1" t="s">
        <v>15</v>
      </c>
      <c r="DU4" s="1" t="s">
        <v>11</v>
      </c>
      <c r="DV4" s="1" t="s">
        <v>11</v>
      </c>
      <c r="DW4" s="1" t="s">
        <v>15</v>
      </c>
      <c r="DX4" s="1" t="s">
        <v>24</v>
      </c>
      <c r="DY4" s="1" t="s">
        <v>31</v>
      </c>
      <c r="DZ4" s="1" t="s">
        <v>21</v>
      </c>
      <c r="EA4" s="1" t="s">
        <v>10</v>
      </c>
      <c r="EB4" s="1" t="s">
        <v>21</v>
      </c>
      <c r="EC4" s="1" t="s">
        <v>21</v>
      </c>
      <c r="ED4" s="1" t="s">
        <v>26</v>
      </c>
      <c r="EE4" s="1" t="s">
        <v>31</v>
      </c>
      <c r="EF4" s="1" t="s">
        <v>26</v>
      </c>
      <c r="EG4" s="1" t="s">
        <v>31</v>
      </c>
      <c r="EH4" s="1" t="s">
        <v>15</v>
      </c>
      <c r="EI4" s="1" t="s">
        <v>15</v>
      </c>
      <c r="EJ4" s="1" t="s">
        <v>31</v>
      </c>
      <c r="EK4" s="1" t="s">
        <v>11</v>
      </c>
      <c r="EL4" s="1" t="s">
        <v>24</v>
      </c>
      <c r="EM4" s="1" t="s">
        <v>11</v>
      </c>
      <c r="EN4" s="1" t="s">
        <v>24</v>
      </c>
      <c r="EO4" s="1" t="s">
        <v>26</v>
      </c>
      <c r="EP4" s="1" t="s">
        <v>24</v>
      </c>
      <c r="EQ4" s="1" t="s">
        <v>26</v>
      </c>
      <c r="ER4" s="1" t="s">
        <v>15</v>
      </c>
      <c r="ES4" s="1" t="s">
        <v>21</v>
      </c>
      <c r="ET4" s="1" t="s">
        <v>15</v>
      </c>
      <c r="EU4" s="1" t="s">
        <v>15</v>
      </c>
      <c r="EV4" s="1" t="s">
        <v>21</v>
      </c>
      <c r="EW4" s="1" t="s">
        <v>24</v>
      </c>
      <c r="EX4" s="1" t="s">
        <v>24</v>
      </c>
      <c r="EY4" s="1" t="s">
        <v>26</v>
      </c>
      <c r="EZ4" s="1" t="s">
        <v>11</v>
      </c>
      <c r="FA4" s="1" t="s">
        <v>26</v>
      </c>
      <c r="FB4" s="1" t="s">
        <v>11</v>
      </c>
      <c r="FC4" s="1" t="s">
        <v>15</v>
      </c>
      <c r="FD4" s="1" t="s">
        <v>21</v>
      </c>
      <c r="FE4" s="1" t="s">
        <v>15</v>
      </c>
      <c r="FF4" s="1" t="s">
        <v>31</v>
      </c>
      <c r="FG4" s="1" t="s">
        <v>24</v>
      </c>
      <c r="FH4" s="1" t="s">
        <v>11</v>
      </c>
      <c r="FI4" s="1" t="s">
        <v>26</v>
      </c>
      <c r="FJ4" s="1" t="s">
        <v>21</v>
      </c>
      <c r="FK4" s="1" t="s">
        <v>11</v>
      </c>
      <c r="FL4" s="1" t="s">
        <v>26</v>
      </c>
      <c r="FM4" s="1" t="s">
        <v>24</v>
      </c>
      <c r="FN4" s="1" t="s">
        <v>15</v>
      </c>
      <c r="FO4" s="1" t="s">
        <v>24</v>
      </c>
      <c r="FP4" s="1" t="s">
        <v>10</v>
      </c>
      <c r="FQ4" s="1" t="s">
        <v>31</v>
      </c>
      <c r="FR4" s="1" t="s">
        <v>10</v>
      </c>
      <c r="FS4" s="1" t="s">
        <v>21</v>
      </c>
      <c r="FT4" s="1" t="s">
        <v>11</v>
      </c>
      <c r="FU4" s="1" t="s">
        <v>21</v>
      </c>
      <c r="FV4" s="1" t="s">
        <v>15</v>
      </c>
      <c r="FW4" s="1" t="s">
        <v>26</v>
      </c>
      <c r="FX4" s="1" t="s">
        <v>24</v>
      </c>
      <c r="FY4" s="1" t="s">
        <v>10</v>
      </c>
      <c r="FZ4" s="1" t="s">
        <v>10</v>
      </c>
      <c r="GA4" s="1" t="s">
        <v>15</v>
      </c>
      <c r="GB4" s="1" t="s">
        <v>10</v>
      </c>
      <c r="GC4" s="1" t="s">
        <v>15</v>
      </c>
      <c r="GD4" s="1" t="s">
        <v>21</v>
      </c>
      <c r="GE4" s="1" t="s">
        <v>24</v>
      </c>
      <c r="GF4" s="1" t="s">
        <v>11</v>
      </c>
      <c r="GG4" s="1" t="s">
        <v>26</v>
      </c>
      <c r="GH4" s="1" t="s">
        <v>11</v>
      </c>
      <c r="GI4" s="1" t="s">
        <v>21</v>
      </c>
      <c r="GJ4" s="1" t="s">
        <v>26</v>
      </c>
      <c r="GK4" s="1" t="s">
        <v>10</v>
      </c>
      <c r="GL4" s="1" t="s">
        <v>31</v>
      </c>
      <c r="GM4" s="1" t="s">
        <v>21</v>
      </c>
      <c r="GN4" s="1" t="s">
        <v>21</v>
      </c>
      <c r="GO4" s="1" t="s">
        <v>24</v>
      </c>
      <c r="GP4" s="1" t="s">
        <v>11</v>
      </c>
      <c r="GQ4" s="1" t="s">
        <v>21</v>
      </c>
      <c r="GR4" s="1" t="s">
        <v>21</v>
      </c>
      <c r="GS4" s="1" t="s">
        <v>10</v>
      </c>
      <c r="GT4" s="1" t="s">
        <v>10</v>
      </c>
      <c r="GU4" s="1" t="s">
        <v>26</v>
      </c>
      <c r="GV4" s="1" t="s">
        <v>15</v>
      </c>
      <c r="GW4" s="1" t="s">
        <v>15</v>
      </c>
      <c r="GX4" s="1" t="s">
        <v>31</v>
      </c>
      <c r="GY4" s="1" t="s">
        <v>15</v>
      </c>
      <c r="GZ4" s="1" t="s">
        <v>24</v>
      </c>
      <c r="HA4" s="1" t="s">
        <v>31</v>
      </c>
      <c r="HB4" s="1" t="s">
        <v>26</v>
      </c>
      <c r="HC4" s="1" t="s">
        <v>10</v>
      </c>
      <c r="HD4" s="1" t="s">
        <v>15</v>
      </c>
      <c r="HE4" s="1" t="s">
        <v>11</v>
      </c>
      <c r="HF4" s="1" t="s">
        <v>10</v>
      </c>
      <c r="HG4" s="1" t="s">
        <v>24</v>
      </c>
      <c r="HH4" s="1" t="s">
        <v>10</v>
      </c>
      <c r="HI4" s="1" t="s">
        <v>24</v>
      </c>
      <c r="HJ4" s="1" t="s">
        <v>24</v>
      </c>
      <c r="HK4" s="1" t="s">
        <v>24</v>
      </c>
      <c r="HL4" s="1" t="s">
        <v>26</v>
      </c>
      <c r="HM4" s="1" t="s">
        <v>24</v>
      </c>
      <c r="HN4" s="1" t="s">
        <v>24</v>
      </c>
      <c r="HO4" s="1" t="s">
        <v>11</v>
      </c>
      <c r="HP4" s="1" t="s">
        <v>31</v>
      </c>
      <c r="HQ4" s="1" t="s">
        <v>21</v>
      </c>
      <c r="HR4" s="1" t="s">
        <v>31</v>
      </c>
      <c r="HS4" s="1" t="s">
        <v>24</v>
      </c>
      <c r="HT4" s="1" t="s">
        <v>11</v>
      </c>
      <c r="HU4" s="1" t="s">
        <v>10</v>
      </c>
      <c r="HV4" s="1" t="s">
        <v>11</v>
      </c>
      <c r="HW4" s="1" t="s">
        <v>24</v>
      </c>
      <c r="HX4" s="1" t="s">
        <v>11</v>
      </c>
      <c r="HY4" s="1" t="s">
        <v>15</v>
      </c>
      <c r="HZ4" s="1" t="s">
        <v>11</v>
      </c>
      <c r="IA4" s="1" t="s">
        <v>24</v>
      </c>
      <c r="IB4" s="1" t="s">
        <v>26</v>
      </c>
      <c r="IC4" s="1" t="s">
        <v>15</v>
      </c>
      <c r="ID4" s="1" t="s">
        <v>11</v>
      </c>
      <c r="IE4" s="1" t="s">
        <v>21</v>
      </c>
      <c r="IF4" s="1" t="s">
        <v>21</v>
      </c>
      <c r="IG4" s="1" t="s">
        <v>11</v>
      </c>
      <c r="IH4" s="1" t="s">
        <v>26</v>
      </c>
      <c r="II4" s="1" t="s">
        <v>10</v>
      </c>
      <c r="IJ4" s="1" t="s">
        <v>24</v>
      </c>
      <c r="IK4" s="1" t="s">
        <v>21</v>
      </c>
      <c r="IL4" s="1" t="s">
        <v>10</v>
      </c>
      <c r="IM4" s="1" t="s">
        <v>11</v>
      </c>
      <c r="IN4" s="1" t="s">
        <v>10</v>
      </c>
      <c r="IO4" s="1" t="s">
        <v>15</v>
      </c>
      <c r="IP4" s="1" t="s">
        <v>31</v>
      </c>
      <c r="IQ4" s="1" t="s">
        <v>21</v>
      </c>
      <c r="IR4" s="1" t="s">
        <v>11</v>
      </c>
      <c r="IS4" s="1" t="s">
        <v>24</v>
      </c>
      <c r="IT4" s="1" t="s">
        <v>26</v>
      </c>
      <c r="IU4" s="1" t="s">
        <v>15</v>
      </c>
      <c r="IV4" s="1" t="s">
        <v>11</v>
      </c>
      <c r="IW4" s="1" t="s">
        <v>24</v>
      </c>
      <c r="IX4" s="1" t="s">
        <v>26</v>
      </c>
      <c r="IY4" s="1" t="s">
        <v>26</v>
      </c>
      <c r="IZ4" s="1" t="s">
        <v>11</v>
      </c>
      <c r="JA4" s="1" t="s">
        <v>15</v>
      </c>
      <c r="JB4" s="1" t="s">
        <v>10</v>
      </c>
      <c r="JC4" s="1" t="s">
        <v>10</v>
      </c>
      <c r="JD4" s="1" t="s">
        <v>26</v>
      </c>
      <c r="JE4" s="1" t="s">
        <v>10</v>
      </c>
      <c r="JF4" s="1" t="s">
        <v>31</v>
      </c>
      <c r="JG4" s="1" t="s">
        <v>26</v>
      </c>
      <c r="JH4" s="1" t="s">
        <v>26</v>
      </c>
      <c r="JI4" s="1" t="s">
        <v>24</v>
      </c>
      <c r="JJ4" s="1" t="s">
        <v>10</v>
      </c>
      <c r="JK4" s="1" t="s">
        <v>15</v>
      </c>
      <c r="JL4" s="1" t="s">
        <v>26</v>
      </c>
      <c r="JM4" s="1" t="s">
        <v>15</v>
      </c>
      <c r="JN4" s="1" t="s">
        <v>31</v>
      </c>
      <c r="JO4" s="1" t="s">
        <v>24</v>
      </c>
      <c r="JP4" s="1" t="s">
        <v>11</v>
      </c>
      <c r="JQ4" s="1" t="s">
        <v>15</v>
      </c>
      <c r="JR4" s="1" t="s">
        <v>26</v>
      </c>
      <c r="JS4" s="1" t="s">
        <v>31</v>
      </c>
      <c r="JT4" s="1" t="s">
        <v>21</v>
      </c>
      <c r="JU4" s="1" t="s">
        <v>31</v>
      </c>
      <c r="JV4" s="1" t="s">
        <v>31</v>
      </c>
      <c r="JW4" s="1" t="s">
        <v>24</v>
      </c>
      <c r="JX4" s="1" t="s">
        <v>11</v>
      </c>
      <c r="JY4" s="1" t="s">
        <v>21</v>
      </c>
      <c r="JZ4" s="1" t="s">
        <v>10</v>
      </c>
      <c r="KA4" s="1" t="s">
        <v>10</v>
      </c>
      <c r="KB4" s="1" t="s">
        <v>15</v>
      </c>
      <c r="KC4" s="1" t="s">
        <v>31</v>
      </c>
      <c r="KD4" s="1" t="s">
        <v>24</v>
      </c>
      <c r="KE4" s="1" t="s">
        <v>24</v>
      </c>
      <c r="KF4" s="1" t="s">
        <v>10</v>
      </c>
      <c r="KG4" s="1" t="s">
        <v>15</v>
      </c>
      <c r="KH4" s="1" t="s">
        <v>15</v>
      </c>
      <c r="KI4" s="1" t="s">
        <v>15</v>
      </c>
      <c r="KJ4" s="1" t="s">
        <v>21</v>
      </c>
      <c r="KK4" s="1" t="s">
        <v>11</v>
      </c>
      <c r="KL4" s="1" t="s">
        <v>21</v>
      </c>
      <c r="KM4" s="1" t="s">
        <v>26</v>
      </c>
      <c r="KN4" s="1" t="s">
        <v>26</v>
      </c>
      <c r="KO4" s="1" t="s">
        <v>11</v>
      </c>
      <c r="KP4" s="1" t="s">
        <v>10</v>
      </c>
      <c r="KQ4" s="1" t="s">
        <v>11</v>
      </c>
      <c r="KR4" s="1" t="s">
        <v>24</v>
      </c>
      <c r="KS4" s="1" t="s">
        <v>26</v>
      </c>
      <c r="KT4" s="1" t="s">
        <v>31</v>
      </c>
      <c r="KU4" s="1" t="s">
        <v>31</v>
      </c>
      <c r="KV4" s="1" t="s">
        <v>10</v>
      </c>
      <c r="KW4" s="1" t="s">
        <v>24</v>
      </c>
      <c r="KX4" s="1" t="s">
        <v>21</v>
      </c>
      <c r="KY4" s="1" t="s">
        <v>24</v>
      </c>
      <c r="KZ4" s="1" t="s">
        <v>31</v>
      </c>
      <c r="LA4" s="1" t="s">
        <v>31</v>
      </c>
      <c r="LB4" s="1" t="s">
        <v>26</v>
      </c>
      <c r="LC4" s="1" t="s">
        <v>24</v>
      </c>
      <c r="LD4" s="1" t="s">
        <v>24</v>
      </c>
      <c r="LE4" s="1" t="s">
        <v>31</v>
      </c>
      <c r="LF4" s="1" t="s">
        <v>21</v>
      </c>
      <c r="LG4" s="1" t="s">
        <v>10</v>
      </c>
      <c r="LH4" s="1" t="s">
        <v>15</v>
      </c>
      <c r="LI4" s="1" t="s">
        <v>10</v>
      </c>
      <c r="LJ4" s="1" t="s">
        <v>24</v>
      </c>
      <c r="LK4" s="1" t="s">
        <v>10</v>
      </c>
      <c r="LL4" s="1" t="s">
        <v>31</v>
      </c>
      <c r="LM4" s="1" t="s">
        <v>31</v>
      </c>
      <c r="LN4" s="1" t="s">
        <v>24</v>
      </c>
      <c r="LO4" s="1" t="s">
        <v>24</v>
      </c>
      <c r="LP4" s="1" t="s">
        <v>15</v>
      </c>
      <c r="LQ4" s="1" t="s">
        <v>15</v>
      </c>
      <c r="LR4" s="1" t="s">
        <v>26</v>
      </c>
      <c r="LS4" s="1" t="s">
        <v>24</v>
      </c>
      <c r="LT4" s="1" t="s">
        <v>21</v>
      </c>
      <c r="LU4" s="1" t="s">
        <v>10</v>
      </c>
      <c r="LV4" s="1" t="s">
        <v>24</v>
      </c>
      <c r="LW4" s="1" t="s">
        <v>11</v>
      </c>
      <c r="LX4" s="1" t="s">
        <v>26</v>
      </c>
      <c r="LY4" s="1" t="s">
        <v>11</v>
      </c>
      <c r="LZ4" s="1" t="s">
        <v>31</v>
      </c>
      <c r="MA4" s="1" t="s">
        <v>15</v>
      </c>
      <c r="MB4" s="1" t="s">
        <v>10</v>
      </c>
      <c r="MC4" s="1" t="s">
        <v>24</v>
      </c>
      <c r="MD4" s="1" t="s">
        <v>11</v>
      </c>
      <c r="ME4" s="1" t="s">
        <v>10</v>
      </c>
      <c r="MF4" s="1" t="s">
        <v>31</v>
      </c>
      <c r="MG4" s="1" t="s">
        <v>15</v>
      </c>
      <c r="MH4" s="1" t="s">
        <v>21</v>
      </c>
      <c r="MI4" s="1" t="s">
        <v>26</v>
      </c>
      <c r="MJ4" s="1" t="s">
        <v>10</v>
      </c>
      <c r="MK4" s="1" t="s">
        <v>10</v>
      </c>
      <c r="ML4" s="1" t="s">
        <v>21</v>
      </c>
      <c r="MM4" s="1" t="s">
        <v>10</v>
      </c>
      <c r="MN4" s="1" t="s">
        <v>31</v>
      </c>
      <c r="MO4" s="1" t="s">
        <v>31</v>
      </c>
      <c r="MP4" s="1" t="s">
        <v>21</v>
      </c>
      <c r="MQ4" s="1" t="s">
        <v>26</v>
      </c>
      <c r="MR4" s="1" t="s">
        <v>24</v>
      </c>
      <c r="MS4" s="1" t="s">
        <v>11</v>
      </c>
      <c r="MT4" s="1" t="s">
        <v>24</v>
      </c>
      <c r="MU4" s="1" t="s">
        <v>10</v>
      </c>
      <c r="MV4" s="1" t="s">
        <v>11</v>
      </c>
      <c r="MW4" s="1" t="s">
        <v>21</v>
      </c>
      <c r="MX4" s="1" t="s">
        <v>21</v>
      </c>
      <c r="MY4" s="1" t="s">
        <v>26</v>
      </c>
      <c r="MZ4" s="1" t="s">
        <v>11</v>
      </c>
      <c r="NA4" s="1" t="s">
        <v>31</v>
      </c>
      <c r="NB4" s="1" t="s">
        <v>11</v>
      </c>
      <c r="NC4" s="1" t="s">
        <v>10</v>
      </c>
      <c r="ND4" s="1" t="s">
        <v>31</v>
      </c>
      <c r="NE4" s="1" t="s">
        <v>15</v>
      </c>
      <c r="NF4" s="1" t="s">
        <v>15</v>
      </c>
      <c r="NG4" s="1" t="s">
        <v>15</v>
      </c>
      <c r="NH4" s="1" t="s">
        <v>21</v>
      </c>
      <c r="NI4" s="1" t="s">
        <v>11</v>
      </c>
      <c r="NJ4" s="1" t="s">
        <v>15</v>
      </c>
      <c r="NK4" s="1" t="s">
        <v>24</v>
      </c>
      <c r="NL4" s="1" t="s">
        <v>26</v>
      </c>
      <c r="NM4" s="1" t="s">
        <v>24</v>
      </c>
      <c r="NN4" s="1" t="s">
        <v>15</v>
      </c>
      <c r="NO4" s="1" t="s">
        <v>26</v>
      </c>
      <c r="NP4" s="1" t="s">
        <v>10</v>
      </c>
      <c r="NQ4" s="1" t="s">
        <v>24</v>
      </c>
      <c r="NR4" s="1" t="s">
        <v>11</v>
      </c>
      <c r="NS4" s="1" t="s">
        <v>11</v>
      </c>
      <c r="NT4" s="1" t="s">
        <v>24</v>
      </c>
      <c r="NU4" s="1" t="s">
        <v>15</v>
      </c>
      <c r="NV4" s="1" t="s">
        <v>11</v>
      </c>
      <c r="NW4" s="1" t="s">
        <v>10</v>
      </c>
      <c r="NX4" s="1" t="s">
        <v>31</v>
      </c>
      <c r="NY4" s="1" t="s">
        <v>15</v>
      </c>
      <c r="NZ4" s="1" t="s">
        <v>10</v>
      </c>
      <c r="OA4" s="1" t="s">
        <v>26</v>
      </c>
      <c r="OB4" s="1" t="s">
        <v>10</v>
      </c>
      <c r="OC4" s="1" t="s">
        <v>15</v>
      </c>
      <c r="OD4" s="1" t="s">
        <v>26</v>
      </c>
      <c r="OE4" s="1" t="s">
        <v>15</v>
      </c>
      <c r="OF4" s="1" t="s">
        <v>11</v>
      </c>
      <c r="OG4" s="1" t="s">
        <v>31</v>
      </c>
      <c r="OH4" s="1" t="s">
        <v>15</v>
      </c>
      <c r="OI4" s="1" t="s">
        <v>15</v>
      </c>
      <c r="OJ4" s="1" t="s">
        <v>11</v>
      </c>
      <c r="OK4" s="1" t="s">
        <v>21</v>
      </c>
      <c r="OL4" s="1" t="s">
        <v>11</v>
      </c>
      <c r="OM4" s="1" t="s">
        <v>26</v>
      </c>
      <c r="ON4" s="1" t="s">
        <v>11</v>
      </c>
      <c r="OO4" s="1" t="s">
        <v>11</v>
      </c>
      <c r="OP4" s="1" t="s">
        <v>31</v>
      </c>
      <c r="OQ4" s="1" t="s">
        <v>11</v>
      </c>
      <c r="OR4" s="1" t="s">
        <v>15</v>
      </c>
      <c r="OS4" s="1" t="s">
        <v>31</v>
      </c>
      <c r="OT4" s="1" t="s">
        <v>24</v>
      </c>
      <c r="OU4" s="1" t="s">
        <v>21</v>
      </c>
      <c r="OV4" s="1" t="s">
        <v>31</v>
      </c>
      <c r="OW4" s="1" t="s">
        <v>26</v>
      </c>
      <c r="OX4" s="1" t="s">
        <v>24</v>
      </c>
      <c r="OY4" s="1" t="s">
        <v>31</v>
      </c>
      <c r="OZ4" s="1" t="s">
        <v>31</v>
      </c>
      <c r="PA4" s="1" t="s">
        <v>21</v>
      </c>
      <c r="PB4" s="1" t="s">
        <v>15</v>
      </c>
      <c r="PC4" s="1" t="s">
        <v>26</v>
      </c>
      <c r="PD4" s="1" t="s">
        <v>10</v>
      </c>
      <c r="PE4" s="1" t="s">
        <v>10</v>
      </c>
      <c r="PF4" s="1" t="s">
        <v>31</v>
      </c>
      <c r="PG4" s="1" t="s">
        <v>11</v>
      </c>
      <c r="PH4" s="1" t="s">
        <v>26</v>
      </c>
      <c r="PI4" s="1" t="s">
        <v>24</v>
      </c>
      <c r="PJ4" s="1" t="s">
        <v>11</v>
      </c>
      <c r="PK4" s="1" t="s">
        <v>11</v>
      </c>
      <c r="PL4" s="1" t="s">
        <v>26</v>
      </c>
      <c r="PM4" s="1" t="s">
        <v>15</v>
      </c>
      <c r="PN4" s="1" t="s">
        <v>31</v>
      </c>
      <c r="PO4" s="1" t="s">
        <v>31</v>
      </c>
      <c r="PP4" s="1" t="s">
        <v>31</v>
      </c>
      <c r="PQ4" s="1" t="s">
        <v>31</v>
      </c>
      <c r="PR4" s="1" t="s">
        <v>10</v>
      </c>
      <c r="PS4" s="1" t="s">
        <v>31</v>
      </c>
      <c r="PT4" s="1" t="s">
        <v>10</v>
      </c>
      <c r="PU4" s="1" t="s">
        <v>10</v>
      </c>
      <c r="PV4" s="1" t="s">
        <v>15</v>
      </c>
      <c r="PW4" s="1" t="s">
        <v>31</v>
      </c>
      <c r="PX4" s="1" t="s">
        <v>21</v>
      </c>
      <c r="PY4" s="1" t="s">
        <v>24</v>
      </c>
      <c r="PZ4" s="1" t="s">
        <v>11</v>
      </c>
      <c r="QA4" s="1" t="s">
        <v>10</v>
      </c>
      <c r="QB4" s="1" t="s">
        <v>26</v>
      </c>
      <c r="QC4" s="1" t="s">
        <v>26</v>
      </c>
      <c r="QD4" s="1" t="s">
        <v>24</v>
      </c>
      <c r="QE4" s="1" t="s">
        <v>26</v>
      </c>
      <c r="QF4" s="1" t="s">
        <v>21</v>
      </c>
      <c r="QG4" s="1" t="s">
        <v>26</v>
      </c>
      <c r="QH4" s="1" t="s">
        <v>11</v>
      </c>
      <c r="QI4" s="1" t="s">
        <v>11</v>
      </c>
      <c r="QJ4" s="1" t="s">
        <v>10</v>
      </c>
      <c r="QK4" s="1" t="s">
        <v>31</v>
      </c>
      <c r="QL4" s="1" t="s">
        <v>15</v>
      </c>
      <c r="QM4" s="1" t="s">
        <v>21</v>
      </c>
      <c r="QN4" s="1" t="s">
        <v>10</v>
      </c>
      <c r="QO4" s="1" t="s">
        <v>21</v>
      </c>
      <c r="QP4" s="1" t="s">
        <v>31</v>
      </c>
      <c r="QQ4" s="1" t="s">
        <v>26</v>
      </c>
      <c r="QR4" s="1" t="s">
        <v>26</v>
      </c>
      <c r="QS4" s="1" t="s">
        <v>15</v>
      </c>
      <c r="QT4" s="1" t="s">
        <v>31</v>
      </c>
      <c r="QU4" s="1" t="s">
        <v>10</v>
      </c>
      <c r="QV4" s="1" t="s">
        <v>15</v>
      </c>
      <c r="QW4" s="1" t="s">
        <v>31</v>
      </c>
      <c r="QX4" s="1" t="s">
        <v>24</v>
      </c>
      <c r="QY4" s="1" t="s">
        <v>11</v>
      </c>
      <c r="QZ4" s="1" t="s">
        <v>15</v>
      </c>
      <c r="RA4" s="1" t="s">
        <v>15</v>
      </c>
      <c r="RB4" s="1" t="s">
        <v>10</v>
      </c>
      <c r="RC4" s="1" t="s">
        <v>21</v>
      </c>
      <c r="RD4" s="1" t="s">
        <v>24</v>
      </c>
      <c r="RE4" s="1" t="s">
        <v>10</v>
      </c>
      <c r="RF4" s="1" t="s">
        <v>31</v>
      </c>
      <c r="RG4" s="1" t="s">
        <v>31</v>
      </c>
      <c r="RH4" s="1" t="s">
        <v>31</v>
      </c>
      <c r="RI4" s="1" t="s">
        <v>31</v>
      </c>
      <c r="RJ4" s="1" t="s">
        <v>21</v>
      </c>
      <c r="RK4" s="1" t="s">
        <v>24</v>
      </c>
      <c r="RL4" s="1" t="s">
        <v>26</v>
      </c>
      <c r="RM4" s="1" t="s">
        <v>11</v>
      </c>
      <c r="RN4" s="1" t="s">
        <v>21</v>
      </c>
      <c r="RO4" s="1" t="s">
        <v>21</v>
      </c>
      <c r="RP4" s="1" t="s">
        <v>26</v>
      </c>
      <c r="RQ4" s="1" t="s">
        <v>26</v>
      </c>
      <c r="RR4" s="1" t="s">
        <v>11</v>
      </c>
      <c r="RS4" s="1" t="s">
        <v>11</v>
      </c>
      <c r="RT4" s="1" t="s">
        <v>26</v>
      </c>
      <c r="RU4" s="1" t="s">
        <v>31</v>
      </c>
      <c r="RV4" s="1" t="s">
        <v>21</v>
      </c>
      <c r="RW4" s="1" t="s">
        <v>10</v>
      </c>
      <c r="RX4" s="1" t="s">
        <v>11</v>
      </c>
      <c r="RY4" s="1" t="s">
        <v>11</v>
      </c>
      <c r="RZ4" s="1" t="s">
        <v>26</v>
      </c>
      <c r="SA4" s="1" t="s">
        <v>24</v>
      </c>
      <c r="SB4" s="1" t="s">
        <v>10</v>
      </c>
      <c r="SC4" s="1" t="s">
        <v>10</v>
      </c>
      <c r="SD4" s="1" t="s">
        <v>11</v>
      </c>
      <c r="SE4" s="1" t="s">
        <v>31</v>
      </c>
      <c r="SF4" s="1" t="s">
        <v>24</v>
      </c>
      <c r="SG4" s="1" t="s">
        <v>10</v>
      </c>
    </row>
    <row r="5" spans="1:501" x14ac:dyDescent="0.3">
      <c r="A5" s="3" t="s">
        <v>4</v>
      </c>
      <c r="B5" s="1" t="s">
        <v>12</v>
      </c>
      <c r="C5" s="1" t="s">
        <v>16</v>
      </c>
      <c r="D5" s="1" t="s">
        <v>16</v>
      </c>
      <c r="E5" s="1" t="s">
        <v>22</v>
      </c>
      <c r="F5" s="1" t="s">
        <v>12</v>
      </c>
      <c r="G5" s="1" t="s">
        <v>27</v>
      </c>
      <c r="H5" s="1" t="s">
        <v>29</v>
      </c>
      <c r="I5" s="1" t="s">
        <v>12</v>
      </c>
      <c r="J5" s="1" t="s">
        <v>16</v>
      </c>
      <c r="K5" s="1" t="s">
        <v>22</v>
      </c>
      <c r="L5" s="1" t="s">
        <v>22</v>
      </c>
      <c r="M5" s="1" t="s">
        <v>29</v>
      </c>
      <c r="N5" s="1" t="s">
        <v>22</v>
      </c>
      <c r="O5" s="1" t="s">
        <v>22</v>
      </c>
      <c r="P5" s="1" t="s">
        <v>12</v>
      </c>
      <c r="Q5" s="1" t="s">
        <v>27</v>
      </c>
      <c r="R5" s="1" t="s">
        <v>29</v>
      </c>
      <c r="S5" s="1" t="s">
        <v>12</v>
      </c>
      <c r="T5" s="1" t="s">
        <v>27</v>
      </c>
      <c r="U5" s="1" t="s">
        <v>12</v>
      </c>
      <c r="V5" s="1" t="s">
        <v>12</v>
      </c>
      <c r="W5" s="1" t="s">
        <v>22</v>
      </c>
      <c r="X5" s="1" t="s">
        <v>27</v>
      </c>
      <c r="Y5" s="1" t="s">
        <v>29</v>
      </c>
      <c r="Z5" s="1" t="s">
        <v>29</v>
      </c>
      <c r="AA5" s="1" t="s">
        <v>27</v>
      </c>
      <c r="AB5" s="1" t="s">
        <v>22</v>
      </c>
      <c r="AC5" s="1" t="s">
        <v>16</v>
      </c>
      <c r="AD5" s="1" t="s">
        <v>12</v>
      </c>
      <c r="AE5" s="1" t="s">
        <v>22</v>
      </c>
      <c r="AF5" s="1" t="s">
        <v>27</v>
      </c>
      <c r="AG5" s="1" t="s">
        <v>12</v>
      </c>
      <c r="AH5" s="1" t="s">
        <v>29</v>
      </c>
      <c r="AI5" s="1" t="s">
        <v>16</v>
      </c>
      <c r="AJ5" s="1" t="s">
        <v>29</v>
      </c>
      <c r="AK5" s="1" t="s">
        <v>27</v>
      </c>
      <c r="AL5" s="1" t="s">
        <v>12</v>
      </c>
      <c r="AM5" s="1" t="s">
        <v>27</v>
      </c>
      <c r="AN5" s="1" t="s">
        <v>12</v>
      </c>
      <c r="AO5" s="1" t="s">
        <v>22</v>
      </c>
      <c r="AP5" s="1" t="s">
        <v>16</v>
      </c>
      <c r="AQ5" s="1" t="s">
        <v>22</v>
      </c>
      <c r="AR5" s="1" t="s">
        <v>22</v>
      </c>
      <c r="AS5" s="1" t="s">
        <v>27</v>
      </c>
      <c r="AT5" s="1" t="s">
        <v>16</v>
      </c>
      <c r="AU5" s="1" t="s">
        <v>12</v>
      </c>
      <c r="AV5" s="1" t="s">
        <v>12</v>
      </c>
      <c r="AW5" s="1" t="s">
        <v>29</v>
      </c>
      <c r="AX5" s="1" t="s">
        <v>12</v>
      </c>
      <c r="AY5" s="1" t="s">
        <v>27</v>
      </c>
      <c r="AZ5" s="1" t="s">
        <v>22</v>
      </c>
      <c r="BA5" s="1" t="s">
        <v>22</v>
      </c>
      <c r="BB5" s="1" t="s">
        <v>22</v>
      </c>
      <c r="BC5" s="1" t="s">
        <v>16</v>
      </c>
      <c r="BD5" s="1" t="s">
        <v>12</v>
      </c>
      <c r="BE5" s="1" t="s">
        <v>27</v>
      </c>
      <c r="BF5" s="1" t="s">
        <v>16</v>
      </c>
      <c r="BG5" s="1" t="s">
        <v>29</v>
      </c>
      <c r="BH5" s="1" t="s">
        <v>27</v>
      </c>
      <c r="BI5" s="1" t="s">
        <v>27</v>
      </c>
      <c r="BJ5" s="1" t="s">
        <v>27</v>
      </c>
      <c r="BK5" s="1" t="s">
        <v>22</v>
      </c>
      <c r="BL5" s="1" t="s">
        <v>27</v>
      </c>
      <c r="BM5" s="1" t="s">
        <v>12</v>
      </c>
      <c r="BN5" s="1" t="s">
        <v>27</v>
      </c>
      <c r="BO5" s="1" t="s">
        <v>22</v>
      </c>
      <c r="BP5" s="1" t="s">
        <v>27</v>
      </c>
      <c r="BQ5" s="1" t="s">
        <v>29</v>
      </c>
      <c r="BR5" s="1" t="s">
        <v>29</v>
      </c>
      <c r="BS5" s="1" t="s">
        <v>22</v>
      </c>
      <c r="BT5" s="1" t="s">
        <v>12</v>
      </c>
      <c r="BU5" s="1" t="s">
        <v>12</v>
      </c>
      <c r="BV5" s="1" t="s">
        <v>16</v>
      </c>
      <c r="BW5" s="1" t="s">
        <v>22</v>
      </c>
      <c r="BX5" s="1" t="s">
        <v>27</v>
      </c>
      <c r="BY5" s="1" t="s">
        <v>22</v>
      </c>
      <c r="BZ5" s="1" t="s">
        <v>16</v>
      </c>
      <c r="CA5" s="1" t="s">
        <v>22</v>
      </c>
      <c r="CB5" s="1" t="s">
        <v>22</v>
      </c>
      <c r="CC5" s="1" t="s">
        <v>16</v>
      </c>
      <c r="CD5" s="1" t="s">
        <v>12</v>
      </c>
      <c r="CE5" s="1" t="s">
        <v>27</v>
      </c>
      <c r="CF5" s="1" t="s">
        <v>16</v>
      </c>
      <c r="CG5" s="1" t="s">
        <v>29</v>
      </c>
      <c r="CH5" s="1" t="s">
        <v>12</v>
      </c>
      <c r="CI5" s="1" t="s">
        <v>29</v>
      </c>
      <c r="CJ5" s="1" t="s">
        <v>12</v>
      </c>
      <c r="CK5" s="1" t="s">
        <v>27</v>
      </c>
      <c r="CL5" s="1" t="s">
        <v>27</v>
      </c>
      <c r="CM5" s="1" t="s">
        <v>22</v>
      </c>
      <c r="CN5" s="1" t="s">
        <v>29</v>
      </c>
      <c r="CO5" s="1" t="s">
        <v>12</v>
      </c>
      <c r="CP5" s="1" t="s">
        <v>27</v>
      </c>
      <c r="CQ5" s="1" t="s">
        <v>16</v>
      </c>
      <c r="CR5" s="1" t="s">
        <v>27</v>
      </c>
      <c r="CS5" s="1" t="s">
        <v>16</v>
      </c>
      <c r="CT5" s="1" t="s">
        <v>12</v>
      </c>
      <c r="CU5" s="1" t="s">
        <v>27</v>
      </c>
      <c r="CV5" s="1" t="s">
        <v>27</v>
      </c>
      <c r="CW5" s="1" t="s">
        <v>12</v>
      </c>
      <c r="CX5" s="1" t="s">
        <v>27</v>
      </c>
      <c r="CY5" s="1" t="s">
        <v>16</v>
      </c>
      <c r="CZ5" s="1" t="s">
        <v>27</v>
      </c>
      <c r="DA5" s="1" t="s">
        <v>29</v>
      </c>
      <c r="DB5" s="1" t="s">
        <v>22</v>
      </c>
      <c r="DC5" s="1" t="s">
        <v>16</v>
      </c>
      <c r="DD5" s="1" t="s">
        <v>29</v>
      </c>
      <c r="DE5" s="1" t="s">
        <v>12</v>
      </c>
      <c r="DF5" s="1" t="s">
        <v>16</v>
      </c>
      <c r="DG5" s="1" t="s">
        <v>22</v>
      </c>
      <c r="DH5" s="1" t="s">
        <v>22</v>
      </c>
      <c r="DI5" s="1" t="s">
        <v>12</v>
      </c>
      <c r="DJ5" s="1" t="s">
        <v>12</v>
      </c>
      <c r="DK5" s="1" t="s">
        <v>16</v>
      </c>
      <c r="DL5" s="1" t="s">
        <v>27</v>
      </c>
      <c r="DM5" s="1" t="s">
        <v>12</v>
      </c>
      <c r="DN5" s="1" t="s">
        <v>27</v>
      </c>
      <c r="DO5" s="1" t="s">
        <v>29</v>
      </c>
      <c r="DP5" s="1" t="s">
        <v>22</v>
      </c>
      <c r="DQ5" s="1" t="s">
        <v>27</v>
      </c>
      <c r="DR5" s="1" t="s">
        <v>22</v>
      </c>
      <c r="DS5" s="1" t="s">
        <v>27</v>
      </c>
      <c r="DT5" s="1" t="s">
        <v>29</v>
      </c>
      <c r="DU5" s="1" t="s">
        <v>12</v>
      </c>
      <c r="DV5" s="1" t="s">
        <v>29</v>
      </c>
      <c r="DW5" s="1" t="s">
        <v>12</v>
      </c>
      <c r="DX5" s="1" t="s">
        <v>12</v>
      </c>
      <c r="DY5" s="1" t="s">
        <v>22</v>
      </c>
      <c r="DZ5" s="1" t="s">
        <v>29</v>
      </c>
      <c r="EA5" s="1" t="s">
        <v>27</v>
      </c>
      <c r="EB5" s="1" t="s">
        <v>29</v>
      </c>
      <c r="EC5" s="1" t="s">
        <v>22</v>
      </c>
      <c r="ED5" s="1" t="s">
        <v>12</v>
      </c>
      <c r="EE5" s="1" t="s">
        <v>22</v>
      </c>
      <c r="EF5" s="1" t="s">
        <v>16</v>
      </c>
      <c r="EG5" s="1" t="s">
        <v>16</v>
      </c>
      <c r="EH5" s="1" t="s">
        <v>27</v>
      </c>
      <c r="EI5" s="1" t="s">
        <v>22</v>
      </c>
      <c r="EJ5" s="1" t="s">
        <v>27</v>
      </c>
      <c r="EK5" s="1" t="s">
        <v>27</v>
      </c>
      <c r="EL5" s="1" t="s">
        <v>16</v>
      </c>
      <c r="EM5" s="1" t="s">
        <v>27</v>
      </c>
      <c r="EN5" s="1" t="s">
        <v>16</v>
      </c>
      <c r="EO5" s="1" t="s">
        <v>12</v>
      </c>
      <c r="EP5" s="1" t="s">
        <v>22</v>
      </c>
      <c r="EQ5" s="1" t="s">
        <v>27</v>
      </c>
      <c r="ER5" s="1" t="s">
        <v>16</v>
      </c>
      <c r="ES5" s="1" t="s">
        <v>29</v>
      </c>
      <c r="ET5" s="1" t="s">
        <v>27</v>
      </c>
      <c r="EU5" s="1" t="s">
        <v>12</v>
      </c>
      <c r="EV5" s="1" t="s">
        <v>12</v>
      </c>
      <c r="EW5" s="1" t="s">
        <v>29</v>
      </c>
      <c r="EX5" s="1" t="s">
        <v>16</v>
      </c>
      <c r="EY5" s="1" t="s">
        <v>27</v>
      </c>
      <c r="EZ5" s="1" t="s">
        <v>16</v>
      </c>
      <c r="FA5" s="1" t="s">
        <v>12</v>
      </c>
      <c r="FB5" s="1" t="s">
        <v>16</v>
      </c>
      <c r="FC5" s="1" t="s">
        <v>12</v>
      </c>
      <c r="FD5" s="1" t="s">
        <v>16</v>
      </c>
      <c r="FE5" s="1" t="s">
        <v>29</v>
      </c>
      <c r="FF5" s="1" t="s">
        <v>22</v>
      </c>
      <c r="FG5" s="1" t="s">
        <v>29</v>
      </c>
      <c r="FH5" s="1" t="s">
        <v>29</v>
      </c>
      <c r="FI5" s="1" t="s">
        <v>22</v>
      </c>
      <c r="FJ5" s="1" t="s">
        <v>22</v>
      </c>
      <c r="FK5" s="1" t="s">
        <v>27</v>
      </c>
      <c r="FL5" s="1" t="s">
        <v>27</v>
      </c>
      <c r="FM5" s="1" t="s">
        <v>29</v>
      </c>
      <c r="FN5" s="1" t="s">
        <v>29</v>
      </c>
      <c r="FO5" s="1" t="s">
        <v>12</v>
      </c>
      <c r="FP5" s="1" t="s">
        <v>12</v>
      </c>
      <c r="FQ5" s="1" t="s">
        <v>27</v>
      </c>
      <c r="FR5" s="1" t="s">
        <v>27</v>
      </c>
      <c r="FS5" s="1" t="s">
        <v>12</v>
      </c>
      <c r="FT5" s="1" t="s">
        <v>12</v>
      </c>
      <c r="FU5" s="1" t="s">
        <v>16</v>
      </c>
      <c r="FV5" s="1" t="s">
        <v>16</v>
      </c>
      <c r="FW5" s="1" t="s">
        <v>12</v>
      </c>
      <c r="FX5" s="1" t="s">
        <v>16</v>
      </c>
      <c r="FY5" s="1" t="s">
        <v>22</v>
      </c>
      <c r="FZ5" s="1" t="s">
        <v>27</v>
      </c>
      <c r="GA5" s="1" t="s">
        <v>27</v>
      </c>
      <c r="GB5" s="1" t="s">
        <v>12</v>
      </c>
      <c r="GC5" s="1" t="s">
        <v>29</v>
      </c>
      <c r="GD5" s="1" t="s">
        <v>12</v>
      </c>
      <c r="GE5" s="1" t="s">
        <v>16</v>
      </c>
      <c r="GF5" s="1" t="s">
        <v>29</v>
      </c>
      <c r="GG5" s="1" t="s">
        <v>16</v>
      </c>
      <c r="GH5" s="1" t="s">
        <v>22</v>
      </c>
      <c r="GI5" s="1" t="s">
        <v>16</v>
      </c>
      <c r="GJ5" s="1" t="s">
        <v>22</v>
      </c>
      <c r="GK5" s="1" t="s">
        <v>22</v>
      </c>
      <c r="GL5" s="1" t="s">
        <v>16</v>
      </c>
      <c r="GM5" s="1" t="s">
        <v>16</v>
      </c>
      <c r="GN5" s="1" t="s">
        <v>22</v>
      </c>
      <c r="GO5" s="1" t="s">
        <v>29</v>
      </c>
      <c r="GP5" s="1" t="s">
        <v>22</v>
      </c>
      <c r="GQ5" s="1" t="s">
        <v>27</v>
      </c>
      <c r="GR5" s="1" t="s">
        <v>22</v>
      </c>
      <c r="GS5" s="1" t="s">
        <v>29</v>
      </c>
      <c r="GT5" s="1" t="s">
        <v>27</v>
      </c>
      <c r="GU5" s="1" t="s">
        <v>12</v>
      </c>
      <c r="GV5" s="1" t="s">
        <v>12</v>
      </c>
      <c r="GW5" s="1" t="s">
        <v>29</v>
      </c>
      <c r="GX5" s="1" t="s">
        <v>22</v>
      </c>
      <c r="GY5" s="1" t="s">
        <v>16</v>
      </c>
      <c r="GZ5" s="1" t="s">
        <v>29</v>
      </c>
      <c r="HA5" s="1" t="s">
        <v>27</v>
      </c>
      <c r="HB5" s="1" t="s">
        <v>27</v>
      </c>
      <c r="HC5" s="1" t="s">
        <v>12</v>
      </c>
      <c r="HD5" s="1" t="s">
        <v>27</v>
      </c>
      <c r="HE5" s="1" t="s">
        <v>29</v>
      </c>
      <c r="HF5" s="1" t="s">
        <v>27</v>
      </c>
      <c r="HG5" s="1" t="s">
        <v>29</v>
      </c>
      <c r="HH5" s="1" t="s">
        <v>16</v>
      </c>
      <c r="HI5" s="1" t="s">
        <v>12</v>
      </c>
      <c r="HJ5" s="1" t="s">
        <v>27</v>
      </c>
      <c r="HK5" s="1" t="s">
        <v>29</v>
      </c>
      <c r="HL5" s="1" t="s">
        <v>22</v>
      </c>
      <c r="HM5" s="1" t="s">
        <v>12</v>
      </c>
      <c r="HN5" s="1" t="s">
        <v>16</v>
      </c>
      <c r="HO5" s="1" t="s">
        <v>29</v>
      </c>
      <c r="HP5" s="1" t="s">
        <v>16</v>
      </c>
      <c r="HQ5" s="1" t="s">
        <v>16</v>
      </c>
      <c r="HR5" s="1" t="s">
        <v>27</v>
      </c>
      <c r="HS5" s="1" t="s">
        <v>27</v>
      </c>
      <c r="HT5" s="1" t="s">
        <v>29</v>
      </c>
      <c r="HU5" s="1" t="s">
        <v>22</v>
      </c>
      <c r="HV5" s="1" t="s">
        <v>29</v>
      </c>
      <c r="HW5" s="1" t="s">
        <v>22</v>
      </c>
      <c r="HX5" s="1" t="s">
        <v>16</v>
      </c>
      <c r="HY5" s="1" t="s">
        <v>12</v>
      </c>
      <c r="HZ5" s="1" t="s">
        <v>29</v>
      </c>
      <c r="IA5" s="1" t="s">
        <v>29</v>
      </c>
      <c r="IB5" s="1" t="s">
        <v>22</v>
      </c>
      <c r="IC5" s="1" t="s">
        <v>16</v>
      </c>
      <c r="ID5" s="1" t="s">
        <v>16</v>
      </c>
      <c r="IE5" s="1" t="s">
        <v>22</v>
      </c>
      <c r="IF5" s="1" t="s">
        <v>16</v>
      </c>
      <c r="IG5" s="1" t="s">
        <v>27</v>
      </c>
      <c r="IH5" s="1" t="s">
        <v>12</v>
      </c>
      <c r="II5" s="1" t="s">
        <v>29</v>
      </c>
      <c r="IJ5" s="1" t="s">
        <v>12</v>
      </c>
      <c r="IK5" s="1" t="s">
        <v>29</v>
      </c>
      <c r="IL5" s="1" t="s">
        <v>27</v>
      </c>
      <c r="IM5" s="1" t="s">
        <v>16</v>
      </c>
      <c r="IN5" s="1" t="s">
        <v>22</v>
      </c>
      <c r="IO5" s="1" t="s">
        <v>27</v>
      </c>
      <c r="IP5" s="1" t="s">
        <v>12</v>
      </c>
      <c r="IQ5" s="1" t="s">
        <v>22</v>
      </c>
      <c r="IR5" s="1" t="s">
        <v>16</v>
      </c>
      <c r="IS5" s="1" t="s">
        <v>27</v>
      </c>
      <c r="IT5" s="1" t="s">
        <v>22</v>
      </c>
      <c r="IU5" s="1" t="s">
        <v>27</v>
      </c>
      <c r="IV5" s="1" t="s">
        <v>27</v>
      </c>
      <c r="IW5" s="1" t="s">
        <v>16</v>
      </c>
      <c r="IX5" s="1" t="s">
        <v>29</v>
      </c>
      <c r="IY5" s="1" t="s">
        <v>22</v>
      </c>
      <c r="IZ5" s="1" t="s">
        <v>16</v>
      </c>
      <c r="JA5" s="1" t="s">
        <v>27</v>
      </c>
      <c r="JB5" s="1" t="s">
        <v>16</v>
      </c>
      <c r="JC5" s="1" t="s">
        <v>29</v>
      </c>
      <c r="JD5" s="1" t="s">
        <v>22</v>
      </c>
      <c r="JE5" s="1" t="s">
        <v>29</v>
      </c>
      <c r="JF5" s="1" t="s">
        <v>12</v>
      </c>
      <c r="JG5" s="1" t="s">
        <v>22</v>
      </c>
      <c r="JH5" s="1" t="s">
        <v>29</v>
      </c>
      <c r="JI5" s="1" t="s">
        <v>27</v>
      </c>
      <c r="JJ5" s="1" t="s">
        <v>22</v>
      </c>
      <c r="JK5" s="1" t="s">
        <v>22</v>
      </c>
      <c r="JL5" s="1" t="s">
        <v>16</v>
      </c>
      <c r="JM5" s="1" t="s">
        <v>27</v>
      </c>
      <c r="JN5" s="1" t="s">
        <v>12</v>
      </c>
      <c r="JO5" s="1" t="s">
        <v>29</v>
      </c>
      <c r="JP5" s="1" t="s">
        <v>16</v>
      </c>
      <c r="JQ5" s="1" t="s">
        <v>29</v>
      </c>
      <c r="JR5" s="1" t="s">
        <v>12</v>
      </c>
      <c r="JS5" s="1" t="s">
        <v>12</v>
      </c>
      <c r="JT5" s="1" t="s">
        <v>22</v>
      </c>
      <c r="JU5" s="1" t="s">
        <v>12</v>
      </c>
      <c r="JV5" s="1" t="s">
        <v>29</v>
      </c>
      <c r="JW5" s="1" t="s">
        <v>27</v>
      </c>
      <c r="JX5" s="1" t="s">
        <v>27</v>
      </c>
      <c r="JY5" s="1" t="s">
        <v>22</v>
      </c>
      <c r="JZ5" s="1" t="s">
        <v>29</v>
      </c>
      <c r="KA5" s="1" t="s">
        <v>29</v>
      </c>
      <c r="KB5" s="1" t="s">
        <v>12</v>
      </c>
      <c r="KC5" s="1" t="s">
        <v>29</v>
      </c>
      <c r="KD5" s="1" t="s">
        <v>16</v>
      </c>
      <c r="KE5" s="1" t="s">
        <v>12</v>
      </c>
      <c r="KF5" s="1" t="s">
        <v>16</v>
      </c>
      <c r="KG5" s="1" t="s">
        <v>22</v>
      </c>
      <c r="KH5" s="1" t="s">
        <v>27</v>
      </c>
      <c r="KI5" s="1" t="s">
        <v>22</v>
      </c>
      <c r="KJ5" s="1" t="s">
        <v>27</v>
      </c>
      <c r="KK5" s="1" t="s">
        <v>22</v>
      </c>
      <c r="KL5" s="1" t="s">
        <v>29</v>
      </c>
      <c r="KM5" s="1" t="s">
        <v>16</v>
      </c>
      <c r="KN5" s="1" t="s">
        <v>27</v>
      </c>
      <c r="KO5" s="1" t="s">
        <v>12</v>
      </c>
      <c r="KP5" s="1" t="s">
        <v>16</v>
      </c>
      <c r="KQ5" s="1" t="s">
        <v>12</v>
      </c>
      <c r="KR5" s="1" t="s">
        <v>16</v>
      </c>
      <c r="KS5" s="1" t="s">
        <v>16</v>
      </c>
      <c r="KT5" s="1" t="s">
        <v>22</v>
      </c>
      <c r="KU5" s="1" t="s">
        <v>27</v>
      </c>
      <c r="KV5" s="1" t="s">
        <v>27</v>
      </c>
      <c r="KW5" s="1" t="s">
        <v>16</v>
      </c>
      <c r="KX5" s="1" t="s">
        <v>29</v>
      </c>
      <c r="KY5" s="1" t="s">
        <v>29</v>
      </c>
      <c r="KZ5" s="1" t="s">
        <v>12</v>
      </c>
      <c r="LA5" s="1" t="s">
        <v>12</v>
      </c>
      <c r="LB5" s="1" t="s">
        <v>22</v>
      </c>
      <c r="LC5" s="1" t="s">
        <v>16</v>
      </c>
      <c r="LD5" s="1" t="s">
        <v>12</v>
      </c>
      <c r="LE5" s="1" t="s">
        <v>12</v>
      </c>
      <c r="LF5" s="1" t="s">
        <v>16</v>
      </c>
      <c r="LG5" s="1" t="s">
        <v>22</v>
      </c>
      <c r="LH5" s="1" t="s">
        <v>12</v>
      </c>
      <c r="LI5" s="1" t="s">
        <v>22</v>
      </c>
      <c r="LJ5" s="1" t="s">
        <v>27</v>
      </c>
      <c r="LK5" s="1" t="s">
        <v>22</v>
      </c>
      <c r="LL5" s="1" t="s">
        <v>29</v>
      </c>
      <c r="LM5" s="1" t="s">
        <v>29</v>
      </c>
      <c r="LN5" s="1" t="s">
        <v>22</v>
      </c>
      <c r="LO5" s="1" t="s">
        <v>29</v>
      </c>
      <c r="LP5" s="1" t="s">
        <v>27</v>
      </c>
      <c r="LQ5" s="1" t="s">
        <v>16</v>
      </c>
      <c r="LR5" s="1" t="s">
        <v>29</v>
      </c>
      <c r="LS5" s="1" t="s">
        <v>29</v>
      </c>
      <c r="LT5" s="1" t="s">
        <v>22</v>
      </c>
      <c r="LU5" s="1" t="s">
        <v>27</v>
      </c>
      <c r="LV5" s="1" t="s">
        <v>16</v>
      </c>
      <c r="LW5" s="1" t="s">
        <v>22</v>
      </c>
      <c r="LX5" s="1" t="s">
        <v>22</v>
      </c>
      <c r="LY5" s="1" t="s">
        <v>27</v>
      </c>
      <c r="LZ5" s="1" t="s">
        <v>16</v>
      </c>
      <c r="MA5" s="1" t="s">
        <v>27</v>
      </c>
      <c r="MB5" s="1" t="s">
        <v>16</v>
      </c>
      <c r="MC5" s="1" t="s">
        <v>27</v>
      </c>
      <c r="MD5" s="1" t="s">
        <v>22</v>
      </c>
      <c r="ME5" s="1" t="s">
        <v>22</v>
      </c>
      <c r="MF5" s="1" t="s">
        <v>12</v>
      </c>
      <c r="MG5" s="1" t="s">
        <v>29</v>
      </c>
      <c r="MH5" s="1" t="s">
        <v>27</v>
      </c>
      <c r="MI5" s="1" t="s">
        <v>12</v>
      </c>
      <c r="MJ5" s="1" t="s">
        <v>29</v>
      </c>
      <c r="MK5" s="1" t="s">
        <v>27</v>
      </c>
      <c r="ML5" s="1" t="s">
        <v>16</v>
      </c>
      <c r="MM5" s="1" t="s">
        <v>29</v>
      </c>
      <c r="MN5" s="1" t="s">
        <v>22</v>
      </c>
      <c r="MO5" s="1" t="s">
        <v>12</v>
      </c>
      <c r="MP5" s="1" t="s">
        <v>29</v>
      </c>
      <c r="MQ5" s="1" t="s">
        <v>29</v>
      </c>
      <c r="MR5" s="1" t="s">
        <v>22</v>
      </c>
      <c r="MS5" s="1" t="s">
        <v>27</v>
      </c>
      <c r="MT5" s="1" t="s">
        <v>16</v>
      </c>
      <c r="MU5" s="1" t="s">
        <v>22</v>
      </c>
      <c r="MV5" s="1" t="s">
        <v>16</v>
      </c>
      <c r="MW5" s="1" t="s">
        <v>27</v>
      </c>
      <c r="MX5" s="1" t="s">
        <v>29</v>
      </c>
      <c r="MY5" s="1" t="s">
        <v>16</v>
      </c>
      <c r="MZ5" s="1" t="s">
        <v>12</v>
      </c>
      <c r="NA5" s="1" t="s">
        <v>12</v>
      </c>
      <c r="NB5" s="1" t="s">
        <v>22</v>
      </c>
      <c r="NC5" s="1" t="s">
        <v>27</v>
      </c>
      <c r="ND5" s="1" t="s">
        <v>22</v>
      </c>
      <c r="NE5" s="1" t="s">
        <v>22</v>
      </c>
      <c r="NF5" s="1" t="s">
        <v>22</v>
      </c>
      <c r="NG5" s="1" t="s">
        <v>12</v>
      </c>
      <c r="NH5" s="1" t="s">
        <v>12</v>
      </c>
      <c r="NI5" s="1" t="s">
        <v>22</v>
      </c>
      <c r="NJ5" s="1" t="s">
        <v>12</v>
      </c>
      <c r="NK5" s="1" t="s">
        <v>27</v>
      </c>
      <c r="NL5" s="1" t="s">
        <v>22</v>
      </c>
      <c r="NM5" s="1" t="s">
        <v>12</v>
      </c>
      <c r="NN5" s="1" t="s">
        <v>16</v>
      </c>
      <c r="NO5" s="1" t="s">
        <v>22</v>
      </c>
      <c r="NP5" s="1" t="s">
        <v>22</v>
      </c>
      <c r="NQ5" s="1" t="s">
        <v>27</v>
      </c>
      <c r="NR5" s="1" t="s">
        <v>29</v>
      </c>
      <c r="NS5" s="1" t="s">
        <v>29</v>
      </c>
      <c r="NT5" s="1" t="s">
        <v>27</v>
      </c>
      <c r="NU5" s="1" t="s">
        <v>27</v>
      </c>
      <c r="NV5" s="1" t="s">
        <v>27</v>
      </c>
      <c r="NW5" s="1" t="s">
        <v>29</v>
      </c>
      <c r="NX5" s="1" t="s">
        <v>27</v>
      </c>
      <c r="NY5" s="1" t="s">
        <v>12</v>
      </c>
      <c r="NZ5" s="1" t="s">
        <v>22</v>
      </c>
      <c r="OA5" s="1" t="s">
        <v>22</v>
      </c>
      <c r="OB5" s="1" t="s">
        <v>16</v>
      </c>
      <c r="OC5" s="1" t="s">
        <v>16</v>
      </c>
      <c r="OD5" s="1" t="s">
        <v>22</v>
      </c>
      <c r="OE5" s="1" t="s">
        <v>12</v>
      </c>
      <c r="OF5" s="1" t="s">
        <v>29</v>
      </c>
      <c r="OG5" s="1" t="s">
        <v>29</v>
      </c>
      <c r="OH5" s="1" t="s">
        <v>12</v>
      </c>
      <c r="OI5" s="1" t="s">
        <v>29</v>
      </c>
      <c r="OJ5" s="1" t="s">
        <v>27</v>
      </c>
      <c r="OK5" s="1" t="s">
        <v>22</v>
      </c>
      <c r="OL5" s="1" t="s">
        <v>22</v>
      </c>
      <c r="OM5" s="1" t="s">
        <v>12</v>
      </c>
      <c r="ON5" s="1" t="s">
        <v>29</v>
      </c>
      <c r="OO5" s="1" t="s">
        <v>16</v>
      </c>
      <c r="OP5" s="1" t="s">
        <v>16</v>
      </c>
      <c r="OQ5" s="1" t="s">
        <v>29</v>
      </c>
      <c r="OR5" s="1" t="s">
        <v>16</v>
      </c>
      <c r="OS5" s="1" t="s">
        <v>12</v>
      </c>
      <c r="OT5" s="1" t="s">
        <v>12</v>
      </c>
      <c r="OU5" s="1" t="s">
        <v>29</v>
      </c>
      <c r="OV5" s="1" t="s">
        <v>16</v>
      </c>
      <c r="OW5" s="1" t="s">
        <v>12</v>
      </c>
      <c r="OX5" s="1" t="s">
        <v>12</v>
      </c>
      <c r="OY5" s="1" t="s">
        <v>27</v>
      </c>
      <c r="OZ5" s="1" t="s">
        <v>27</v>
      </c>
      <c r="PA5" s="1" t="s">
        <v>12</v>
      </c>
      <c r="PB5" s="1" t="s">
        <v>29</v>
      </c>
      <c r="PC5" s="1" t="s">
        <v>22</v>
      </c>
      <c r="PD5" s="1" t="s">
        <v>22</v>
      </c>
      <c r="PE5" s="1" t="s">
        <v>12</v>
      </c>
      <c r="PF5" s="1" t="s">
        <v>12</v>
      </c>
      <c r="PG5" s="1" t="s">
        <v>12</v>
      </c>
      <c r="PH5" s="1" t="s">
        <v>29</v>
      </c>
      <c r="PI5" s="1" t="s">
        <v>27</v>
      </c>
      <c r="PJ5" s="1" t="s">
        <v>12</v>
      </c>
      <c r="PK5" s="1" t="s">
        <v>12</v>
      </c>
      <c r="PL5" s="1" t="s">
        <v>16</v>
      </c>
      <c r="PM5" s="1" t="s">
        <v>29</v>
      </c>
      <c r="PN5" s="1" t="s">
        <v>12</v>
      </c>
      <c r="PO5" s="1" t="s">
        <v>16</v>
      </c>
      <c r="PP5" s="1" t="s">
        <v>22</v>
      </c>
      <c r="PQ5" s="1" t="s">
        <v>12</v>
      </c>
      <c r="PR5" s="1" t="s">
        <v>12</v>
      </c>
      <c r="PS5" s="1" t="s">
        <v>16</v>
      </c>
      <c r="PT5" s="1" t="s">
        <v>29</v>
      </c>
      <c r="PU5" s="1" t="s">
        <v>12</v>
      </c>
      <c r="PV5" s="1" t="s">
        <v>22</v>
      </c>
      <c r="PW5" s="1" t="s">
        <v>12</v>
      </c>
      <c r="PX5" s="1" t="s">
        <v>22</v>
      </c>
      <c r="PY5" s="1" t="s">
        <v>27</v>
      </c>
      <c r="PZ5" s="1" t="s">
        <v>27</v>
      </c>
      <c r="QA5" s="1" t="s">
        <v>22</v>
      </c>
      <c r="QB5" s="1" t="s">
        <v>29</v>
      </c>
      <c r="QC5" s="1" t="s">
        <v>12</v>
      </c>
      <c r="QD5" s="1" t="s">
        <v>12</v>
      </c>
      <c r="QE5" s="1" t="s">
        <v>27</v>
      </c>
      <c r="QF5" s="1" t="s">
        <v>22</v>
      </c>
      <c r="QG5" s="1" t="s">
        <v>12</v>
      </c>
      <c r="QH5" s="1" t="s">
        <v>12</v>
      </c>
      <c r="QI5" s="1" t="s">
        <v>29</v>
      </c>
      <c r="QJ5" s="1" t="s">
        <v>16</v>
      </c>
      <c r="QK5" s="1" t="s">
        <v>27</v>
      </c>
      <c r="QL5" s="1" t="s">
        <v>27</v>
      </c>
      <c r="QM5" s="1" t="s">
        <v>16</v>
      </c>
      <c r="QN5" s="1" t="s">
        <v>12</v>
      </c>
      <c r="QO5" s="1" t="s">
        <v>29</v>
      </c>
      <c r="QP5" s="1" t="s">
        <v>29</v>
      </c>
      <c r="QQ5" s="1" t="s">
        <v>27</v>
      </c>
      <c r="QR5" s="1" t="s">
        <v>29</v>
      </c>
      <c r="QS5" s="1" t="s">
        <v>16</v>
      </c>
      <c r="QT5" s="1" t="s">
        <v>12</v>
      </c>
      <c r="QU5" s="1" t="s">
        <v>16</v>
      </c>
      <c r="QV5" s="1" t="s">
        <v>22</v>
      </c>
      <c r="QW5" s="1" t="s">
        <v>27</v>
      </c>
      <c r="QX5" s="1" t="s">
        <v>29</v>
      </c>
      <c r="QY5" s="1" t="s">
        <v>22</v>
      </c>
      <c r="QZ5" s="1" t="s">
        <v>29</v>
      </c>
      <c r="RA5" s="1" t="s">
        <v>12</v>
      </c>
      <c r="RB5" s="1" t="s">
        <v>12</v>
      </c>
      <c r="RC5" s="1" t="s">
        <v>12</v>
      </c>
      <c r="RD5" s="1" t="s">
        <v>29</v>
      </c>
      <c r="RE5" s="1" t="s">
        <v>22</v>
      </c>
      <c r="RF5" s="1" t="s">
        <v>12</v>
      </c>
      <c r="RG5" s="1" t="s">
        <v>22</v>
      </c>
      <c r="RH5" s="1" t="s">
        <v>29</v>
      </c>
      <c r="RI5" s="1" t="s">
        <v>22</v>
      </c>
      <c r="RJ5" s="1" t="s">
        <v>29</v>
      </c>
      <c r="RK5" s="1" t="s">
        <v>29</v>
      </c>
      <c r="RL5" s="1" t="s">
        <v>27</v>
      </c>
      <c r="RM5" s="1" t="s">
        <v>29</v>
      </c>
      <c r="RN5" s="1" t="s">
        <v>29</v>
      </c>
      <c r="RO5" s="1" t="s">
        <v>16</v>
      </c>
      <c r="RP5" s="1" t="s">
        <v>12</v>
      </c>
      <c r="RQ5" s="1" t="s">
        <v>27</v>
      </c>
      <c r="RR5" s="1" t="s">
        <v>27</v>
      </c>
      <c r="RS5" s="1" t="s">
        <v>27</v>
      </c>
      <c r="RT5" s="1" t="s">
        <v>16</v>
      </c>
      <c r="RU5" s="1" t="s">
        <v>29</v>
      </c>
      <c r="RV5" s="1" t="s">
        <v>12</v>
      </c>
      <c r="RW5" s="1" t="s">
        <v>22</v>
      </c>
      <c r="RX5" s="1" t="s">
        <v>29</v>
      </c>
      <c r="RY5" s="1" t="s">
        <v>16</v>
      </c>
      <c r="RZ5" s="1" t="s">
        <v>29</v>
      </c>
      <c r="SA5" s="1" t="s">
        <v>29</v>
      </c>
      <c r="SB5" s="1" t="s">
        <v>16</v>
      </c>
      <c r="SC5" s="1" t="s">
        <v>27</v>
      </c>
      <c r="SD5" s="1" t="s">
        <v>27</v>
      </c>
      <c r="SE5" s="1" t="s">
        <v>12</v>
      </c>
      <c r="SF5" s="1" t="s">
        <v>12</v>
      </c>
      <c r="SG5" s="1" t="s">
        <v>27</v>
      </c>
    </row>
    <row r="6" spans="1:501" x14ac:dyDescent="0.3">
      <c r="A6" s="3" t="s">
        <v>5</v>
      </c>
      <c r="B6" s="1" t="s">
        <v>13</v>
      </c>
      <c r="C6" s="1" t="s">
        <v>17</v>
      </c>
      <c r="D6" s="1" t="s">
        <v>19</v>
      </c>
      <c r="E6" s="1" t="s">
        <v>23</v>
      </c>
      <c r="F6" s="1" t="s">
        <v>25</v>
      </c>
      <c r="G6" s="1" t="s">
        <v>28</v>
      </c>
      <c r="H6" s="1" t="s">
        <v>19</v>
      </c>
      <c r="I6" s="1" t="s">
        <v>19</v>
      </c>
      <c r="J6" s="1" t="s">
        <v>33</v>
      </c>
      <c r="K6" s="1" t="s">
        <v>34</v>
      </c>
      <c r="L6" s="1" t="s">
        <v>34</v>
      </c>
      <c r="M6" s="1" t="s">
        <v>35</v>
      </c>
      <c r="N6" s="1" t="s">
        <v>28</v>
      </c>
      <c r="O6" s="1" t="s">
        <v>23</v>
      </c>
      <c r="P6" s="1" t="s">
        <v>36</v>
      </c>
      <c r="Q6" s="1" t="s">
        <v>25</v>
      </c>
      <c r="R6" s="1" t="s">
        <v>25</v>
      </c>
      <c r="S6" s="1" t="s">
        <v>37</v>
      </c>
      <c r="T6" s="1" t="s">
        <v>25</v>
      </c>
      <c r="U6" s="1" t="s">
        <v>35</v>
      </c>
      <c r="V6" s="1" t="s">
        <v>38</v>
      </c>
      <c r="W6" s="1" t="s">
        <v>39</v>
      </c>
      <c r="X6" s="1" t="s">
        <v>19</v>
      </c>
      <c r="Y6" s="1" t="s">
        <v>35</v>
      </c>
      <c r="Z6" s="1" t="s">
        <v>40</v>
      </c>
      <c r="AA6" s="1" t="s">
        <v>41</v>
      </c>
      <c r="AB6" s="1" t="s">
        <v>39</v>
      </c>
      <c r="AC6" s="1" t="s">
        <v>35</v>
      </c>
      <c r="AD6" s="1" t="s">
        <v>17</v>
      </c>
      <c r="AE6" s="1" t="s">
        <v>42</v>
      </c>
      <c r="AF6" s="1" t="s">
        <v>43</v>
      </c>
      <c r="AG6" s="1" t="s">
        <v>28</v>
      </c>
      <c r="AH6" s="1" t="s">
        <v>40</v>
      </c>
      <c r="AI6" s="1" t="s">
        <v>33</v>
      </c>
      <c r="AJ6" s="1" t="s">
        <v>33</v>
      </c>
      <c r="AK6" s="1" t="s">
        <v>17</v>
      </c>
      <c r="AL6" s="1" t="s">
        <v>37</v>
      </c>
      <c r="AM6" s="1" t="s">
        <v>44</v>
      </c>
      <c r="AN6" s="1" t="s">
        <v>33</v>
      </c>
      <c r="AO6" s="1" t="s">
        <v>17</v>
      </c>
      <c r="AP6" s="1" t="s">
        <v>45</v>
      </c>
      <c r="AQ6" s="1" t="s">
        <v>17</v>
      </c>
      <c r="AR6" s="1" t="s">
        <v>33</v>
      </c>
      <c r="AS6" s="1" t="s">
        <v>33</v>
      </c>
      <c r="AT6" s="1" t="s">
        <v>42</v>
      </c>
      <c r="AU6" s="1" t="s">
        <v>35</v>
      </c>
      <c r="AV6" s="1" t="s">
        <v>43</v>
      </c>
      <c r="AW6" s="1" t="s">
        <v>46</v>
      </c>
      <c r="AX6" s="1" t="s">
        <v>17</v>
      </c>
      <c r="AY6" s="1" t="s">
        <v>42</v>
      </c>
      <c r="AZ6" s="1" t="s">
        <v>47</v>
      </c>
      <c r="BA6" s="1" t="s">
        <v>43</v>
      </c>
      <c r="BB6" s="1" t="s">
        <v>45</v>
      </c>
      <c r="BC6" s="1" t="s">
        <v>34</v>
      </c>
      <c r="BD6" s="1" t="s">
        <v>45</v>
      </c>
      <c r="BE6" s="1" t="s">
        <v>43</v>
      </c>
      <c r="BF6" s="1" t="s">
        <v>39</v>
      </c>
      <c r="BG6" s="1" t="s">
        <v>40</v>
      </c>
      <c r="BH6" s="1" t="s">
        <v>45</v>
      </c>
      <c r="BI6" s="1" t="s">
        <v>43</v>
      </c>
      <c r="BJ6" s="1" t="s">
        <v>23</v>
      </c>
      <c r="BK6" s="1" t="s">
        <v>38</v>
      </c>
      <c r="BL6" s="1" t="s">
        <v>43</v>
      </c>
      <c r="BM6" s="1" t="s">
        <v>23</v>
      </c>
      <c r="BN6" s="1" t="s">
        <v>28</v>
      </c>
      <c r="BO6" s="1" t="s">
        <v>48</v>
      </c>
      <c r="BP6" s="1" t="s">
        <v>45</v>
      </c>
      <c r="BQ6" s="1" t="s">
        <v>33</v>
      </c>
      <c r="BR6" s="1" t="s">
        <v>43</v>
      </c>
      <c r="BS6" s="1" t="s">
        <v>25</v>
      </c>
      <c r="BT6" s="1" t="s">
        <v>42</v>
      </c>
      <c r="BU6" s="1" t="s">
        <v>37</v>
      </c>
      <c r="BV6" s="1" t="s">
        <v>49</v>
      </c>
      <c r="BW6" s="1" t="s">
        <v>28</v>
      </c>
      <c r="BX6" s="1" t="s">
        <v>39</v>
      </c>
      <c r="BY6" s="1" t="s">
        <v>25</v>
      </c>
      <c r="BZ6" s="1" t="s">
        <v>19</v>
      </c>
      <c r="CA6" s="1" t="s">
        <v>41</v>
      </c>
      <c r="CB6" s="1" t="s">
        <v>19</v>
      </c>
      <c r="CC6" s="1" t="s">
        <v>38</v>
      </c>
      <c r="CD6" s="1" t="s">
        <v>17</v>
      </c>
      <c r="CE6" s="1" t="s">
        <v>44</v>
      </c>
      <c r="CF6" s="1" t="s">
        <v>43</v>
      </c>
      <c r="CG6" s="1" t="s">
        <v>38</v>
      </c>
      <c r="CH6" s="1" t="s">
        <v>34</v>
      </c>
      <c r="CI6" s="1" t="s">
        <v>46</v>
      </c>
      <c r="CJ6" s="1" t="s">
        <v>25</v>
      </c>
      <c r="CK6" s="1" t="s">
        <v>44</v>
      </c>
      <c r="CL6" s="1" t="s">
        <v>33</v>
      </c>
      <c r="CM6" s="1" t="s">
        <v>17</v>
      </c>
      <c r="CN6" s="1" t="s">
        <v>17</v>
      </c>
      <c r="CO6" s="1" t="s">
        <v>34</v>
      </c>
      <c r="CP6" s="1" t="s">
        <v>38</v>
      </c>
      <c r="CQ6" s="1" t="s">
        <v>41</v>
      </c>
      <c r="CR6" s="1" t="s">
        <v>34</v>
      </c>
      <c r="CS6" s="1" t="s">
        <v>41</v>
      </c>
      <c r="CT6" s="1" t="s">
        <v>41</v>
      </c>
      <c r="CU6" s="1" t="s">
        <v>23</v>
      </c>
      <c r="CV6" s="1" t="s">
        <v>36</v>
      </c>
      <c r="CW6" s="1" t="s">
        <v>28</v>
      </c>
      <c r="CX6" s="1" t="s">
        <v>40</v>
      </c>
      <c r="CY6" s="1" t="s">
        <v>25</v>
      </c>
      <c r="CZ6" s="1" t="s">
        <v>13</v>
      </c>
      <c r="DA6" s="1" t="s">
        <v>36</v>
      </c>
      <c r="DB6" s="1" t="s">
        <v>17</v>
      </c>
      <c r="DC6" s="1" t="s">
        <v>44</v>
      </c>
      <c r="DD6" s="1" t="s">
        <v>41</v>
      </c>
      <c r="DE6" s="1" t="s">
        <v>23</v>
      </c>
      <c r="DF6" s="1" t="s">
        <v>40</v>
      </c>
      <c r="DG6" s="1" t="s">
        <v>38</v>
      </c>
      <c r="DH6" s="1" t="s">
        <v>49</v>
      </c>
      <c r="DI6" s="1" t="s">
        <v>23</v>
      </c>
      <c r="DJ6" s="1" t="s">
        <v>42</v>
      </c>
      <c r="DK6" s="1" t="s">
        <v>50</v>
      </c>
      <c r="DL6" s="1" t="s">
        <v>43</v>
      </c>
      <c r="DM6" s="1" t="s">
        <v>41</v>
      </c>
      <c r="DN6" s="1" t="s">
        <v>39</v>
      </c>
      <c r="DO6" s="1" t="s">
        <v>33</v>
      </c>
      <c r="DP6" s="1" t="s">
        <v>19</v>
      </c>
      <c r="DQ6" s="1" t="s">
        <v>36</v>
      </c>
      <c r="DR6" s="1" t="s">
        <v>43</v>
      </c>
      <c r="DS6" s="1" t="s">
        <v>44</v>
      </c>
      <c r="DT6" s="1" t="s">
        <v>50</v>
      </c>
      <c r="DU6" s="1" t="s">
        <v>42</v>
      </c>
      <c r="DV6" s="1" t="s">
        <v>45</v>
      </c>
      <c r="DW6" s="1" t="s">
        <v>33</v>
      </c>
      <c r="DX6" s="1" t="s">
        <v>25</v>
      </c>
      <c r="DY6" s="1" t="s">
        <v>42</v>
      </c>
      <c r="DZ6" s="1" t="s">
        <v>38</v>
      </c>
      <c r="EA6" s="1" t="s">
        <v>43</v>
      </c>
      <c r="EB6" s="1" t="s">
        <v>19</v>
      </c>
      <c r="EC6" s="1" t="s">
        <v>39</v>
      </c>
      <c r="ED6" s="1" t="s">
        <v>33</v>
      </c>
      <c r="EE6" s="1" t="s">
        <v>46</v>
      </c>
      <c r="EF6" s="1" t="s">
        <v>28</v>
      </c>
      <c r="EG6" s="1" t="s">
        <v>25</v>
      </c>
      <c r="EH6" s="1" t="s">
        <v>34</v>
      </c>
      <c r="EI6" s="1" t="s">
        <v>36</v>
      </c>
      <c r="EJ6" s="1" t="s">
        <v>36</v>
      </c>
      <c r="EK6" s="1" t="s">
        <v>40</v>
      </c>
      <c r="EL6" s="1" t="s">
        <v>25</v>
      </c>
      <c r="EM6" s="1" t="s">
        <v>35</v>
      </c>
      <c r="EN6" s="1" t="s">
        <v>39</v>
      </c>
      <c r="EO6" s="1" t="s">
        <v>37</v>
      </c>
      <c r="EP6" s="1" t="s">
        <v>40</v>
      </c>
      <c r="EQ6" s="1" t="s">
        <v>43</v>
      </c>
      <c r="ER6" s="1" t="s">
        <v>33</v>
      </c>
      <c r="ES6" s="1" t="s">
        <v>13</v>
      </c>
      <c r="ET6" s="1" t="s">
        <v>43</v>
      </c>
      <c r="EU6" s="1" t="s">
        <v>35</v>
      </c>
      <c r="EV6" s="1" t="s">
        <v>44</v>
      </c>
      <c r="EW6" s="1" t="s">
        <v>38</v>
      </c>
      <c r="EX6" s="1" t="s">
        <v>47</v>
      </c>
      <c r="EY6" s="1" t="s">
        <v>28</v>
      </c>
      <c r="EZ6" s="1" t="s">
        <v>38</v>
      </c>
      <c r="FA6" s="1" t="s">
        <v>40</v>
      </c>
      <c r="FB6" s="1" t="s">
        <v>13</v>
      </c>
      <c r="FC6" s="1" t="s">
        <v>44</v>
      </c>
      <c r="FD6" s="1" t="s">
        <v>49</v>
      </c>
      <c r="FE6" s="1" t="s">
        <v>33</v>
      </c>
      <c r="FF6" s="1" t="s">
        <v>13</v>
      </c>
      <c r="FG6" s="1" t="s">
        <v>39</v>
      </c>
      <c r="FH6" s="1" t="s">
        <v>36</v>
      </c>
      <c r="FI6" s="1" t="s">
        <v>45</v>
      </c>
      <c r="FJ6" s="1" t="s">
        <v>43</v>
      </c>
      <c r="FK6" s="1" t="s">
        <v>17</v>
      </c>
      <c r="FL6" s="1" t="s">
        <v>19</v>
      </c>
      <c r="FM6" s="1" t="s">
        <v>38</v>
      </c>
      <c r="FN6" s="1" t="s">
        <v>37</v>
      </c>
      <c r="FO6" s="1" t="s">
        <v>46</v>
      </c>
      <c r="FP6" s="1" t="s">
        <v>28</v>
      </c>
      <c r="FQ6" s="1" t="s">
        <v>44</v>
      </c>
      <c r="FR6" s="1" t="s">
        <v>46</v>
      </c>
      <c r="FS6" s="1" t="s">
        <v>36</v>
      </c>
      <c r="FT6" s="1" t="s">
        <v>19</v>
      </c>
      <c r="FU6" s="1" t="s">
        <v>25</v>
      </c>
      <c r="FV6" s="1" t="s">
        <v>19</v>
      </c>
      <c r="FW6" s="1" t="s">
        <v>42</v>
      </c>
      <c r="FX6" s="1" t="s">
        <v>19</v>
      </c>
      <c r="FY6" s="1" t="s">
        <v>28</v>
      </c>
      <c r="FZ6" s="1" t="s">
        <v>34</v>
      </c>
      <c r="GA6" s="1" t="s">
        <v>40</v>
      </c>
      <c r="GB6" s="1" t="s">
        <v>25</v>
      </c>
      <c r="GC6" s="1" t="s">
        <v>45</v>
      </c>
      <c r="GD6" s="1" t="s">
        <v>25</v>
      </c>
      <c r="GE6" s="1" t="s">
        <v>38</v>
      </c>
      <c r="GF6" s="1" t="s">
        <v>28</v>
      </c>
      <c r="GG6" s="1" t="s">
        <v>36</v>
      </c>
      <c r="GH6" s="1" t="s">
        <v>43</v>
      </c>
      <c r="GI6" s="1" t="s">
        <v>35</v>
      </c>
      <c r="GJ6" s="1" t="s">
        <v>38</v>
      </c>
      <c r="GK6" s="1" t="s">
        <v>41</v>
      </c>
      <c r="GL6" s="1" t="s">
        <v>35</v>
      </c>
      <c r="GM6" s="1" t="s">
        <v>40</v>
      </c>
      <c r="GN6" s="1" t="s">
        <v>46</v>
      </c>
      <c r="GO6" s="1" t="s">
        <v>36</v>
      </c>
      <c r="GP6" s="1" t="s">
        <v>49</v>
      </c>
      <c r="GQ6" s="1" t="s">
        <v>47</v>
      </c>
      <c r="GR6" s="1" t="s">
        <v>35</v>
      </c>
      <c r="GS6" s="1" t="s">
        <v>47</v>
      </c>
      <c r="GT6" s="1" t="s">
        <v>40</v>
      </c>
      <c r="GU6" s="1" t="s">
        <v>46</v>
      </c>
      <c r="GV6" s="1" t="s">
        <v>49</v>
      </c>
      <c r="GW6" s="1" t="s">
        <v>17</v>
      </c>
      <c r="GX6" s="1" t="s">
        <v>41</v>
      </c>
      <c r="GY6" s="1" t="s">
        <v>40</v>
      </c>
      <c r="GZ6" s="1" t="s">
        <v>35</v>
      </c>
      <c r="HA6" s="1" t="s">
        <v>36</v>
      </c>
      <c r="HB6" s="1" t="s">
        <v>34</v>
      </c>
      <c r="HC6" s="1" t="s">
        <v>13</v>
      </c>
      <c r="HD6" s="1" t="s">
        <v>35</v>
      </c>
      <c r="HE6" s="1" t="s">
        <v>42</v>
      </c>
      <c r="HF6" s="1" t="s">
        <v>44</v>
      </c>
      <c r="HG6" s="1" t="s">
        <v>44</v>
      </c>
      <c r="HH6" s="1" t="s">
        <v>17</v>
      </c>
      <c r="HI6" s="1" t="s">
        <v>48</v>
      </c>
      <c r="HJ6" s="1" t="s">
        <v>34</v>
      </c>
      <c r="HK6" s="1" t="s">
        <v>50</v>
      </c>
      <c r="HL6" s="1" t="s">
        <v>45</v>
      </c>
      <c r="HM6" s="1" t="s">
        <v>37</v>
      </c>
      <c r="HN6" s="1" t="s">
        <v>13</v>
      </c>
      <c r="HO6" s="1" t="s">
        <v>35</v>
      </c>
      <c r="HP6" s="1" t="s">
        <v>40</v>
      </c>
      <c r="HQ6" s="1" t="s">
        <v>39</v>
      </c>
      <c r="HR6" s="1" t="s">
        <v>36</v>
      </c>
      <c r="HS6" s="1" t="s">
        <v>44</v>
      </c>
      <c r="HT6" s="1" t="s">
        <v>37</v>
      </c>
      <c r="HU6" s="1" t="s">
        <v>43</v>
      </c>
      <c r="HV6" s="1" t="s">
        <v>49</v>
      </c>
      <c r="HW6" s="1" t="s">
        <v>43</v>
      </c>
      <c r="HX6" s="1" t="s">
        <v>23</v>
      </c>
      <c r="HY6" s="1" t="s">
        <v>40</v>
      </c>
      <c r="HZ6" s="1" t="s">
        <v>37</v>
      </c>
      <c r="IA6" s="1" t="s">
        <v>33</v>
      </c>
      <c r="IB6" s="1" t="s">
        <v>41</v>
      </c>
      <c r="IC6" s="1" t="s">
        <v>41</v>
      </c>
      <c r="ID6" s="1" t="s">
        <v>13</v>
      </c>
      <c r="IE6" s="1" t="s">
        <v>43</v>
      </c>
      <c r="IF6" s="1" t="s">
        <v>44</v>
      </c>
      <c r="IG6" s="1" t="s">
        <v>48</v>
      </c>
      <c r="IH6" s="1" t="s">
        <v>47</v>
      </c>
      <c r="II6" s="1" t="s">
        <v>45</v>
      </c>
      <c r="IJ6" s="1" t="s">
        <v>40</v>
      </c>
      <c r="IK6" s="1" t="s">
        <v>36</v>
      </c>
      <c r="IL6" s="1" t="s">
        <v>35</v>
      </c>
      <c r="IM6" s="1" t="s">
        <v>36</v>
      </c>
      <c r="IN6" s="1" t="s">
        <v>45</v>
      </c>
      <c r="IO6" s="1" t="s">
        <v>25</v>
      </c>
      <c r="IP6" s="1" t="s">
        <v>46</v>
      </c>
      <c r="IQ6" s="1" t="s">
        <v>50</v>
      </c>
      <c r="IR6" s="1" t="s">
        <v>33</v>
      </c>
      <c r="IS6" s="1" t="s">
        <v>41</v>
      </c>
      <c r="IT6" s="1" t="s">
        <v>13</v>
      </c>
      <c r="IU6" s="1" t="s">
        <v>45</v>
      </c>
      <c r="IV6" s="1" t="s">
        <v>13</v>
      </c>
      <c r="IW6" s="1" t="s">
        <v>13</v>
      </c>
      <c r="IX6" s="1" t="s">
        <v>19</v>
      </c>
      <c r="IY6" s="1" t="s">
        <v>40</v>
      </c>
      <c r="IZ6" s="1" t="s">
        <v>35</v>
      </c>
      <c r="JA6" s="1" t="s">
        <v>46</v>
      </c>
      <c r="JB6" s="1" t="s">
        <v>19</v>
      </c>
      <c r="JC6" s="1" t="s">
        <v>40</v>
      </c>
      <c r="JD6" s="1" t="s">
        <v>44</v>
      </c>
      <c r="JE6" s="1" t="s">
        <v>41</v>
      </c>
      <c r="JF6" s="1" t="s">
        <v>42</v>
      </c>
      <c r="JG6" s="1" t="s">
        <v>42</v>
      </c>
      <c r="JH6" s="1" t="s">
        <v>36</v>
      </c>
      <c r="JI6" s="1" t="s">
        <v>25</v>
      </c>
      <c r="JJ6" s="1" t="s">
        <v>35</v>
      </c>
      <c r="JK6" s="1" t="s">
        <v>46</v>
      </c>
      <c r="JL6" s="1" t="s">
        <v>47</v>
      </c>
      <c r="JM6" s="1" t="s">
        <v>33</v>
      </c>
      <c r="JN6" s="1" t="s">
        <v>25</v>
      </c>
      <c r="JO6" s="1" t="s">
        <v>41</v>
      </c>
      <c r="JP6" s="1" t="s">
        <v>45</v>
      </c>
      <c r="JQ6" s="1" t="s">
        <v>36</v>
      </c>
      <c r="JR6" s="1" t="s">
        <v>50</v>
      </c>
      <c r="JS6" s="1" t="s">
        <v>28</v>
      </c>
      <c r="JT6" s="1" t="s">
        <v>41</v>
      </c>
      <c r="JU6" s="1" t="s">
        <v>49</v>
      </c>
      <c r="JV6" s="1" t="s">
        <v>50</v>
      </c>
      <c r="JW6" s="1" t="s">
        <v>48</v>
      </c>
      <c r="JX6" s="1" t="s">
        <v>44</v>
      </c>
      <c r="JY6" s="1" t="s">
        <v>35</v>
      </c>
      <c r="JZ6" s="1" t="s">
        <v>38</v>
      </c>
      <c r="KA6" s="1" t="s">
        <v>39</v>
      </c>
      <c r="KB6" s="1" t="s">
        <v>48</v>
      </c>
      <c r="KC6" s="1" t="s">
        <v>23</v>
      </c>
      <c r="KD6" s="1" t="s">
        <v>39</v>
      </c>
      <c r="KE6" s="1" t="s">
        <v>13</v>
      </c>
      <c r="KF6" s="1" t="s">
        <v>36</v>
      </c>
      <c r="KG6" s="1" t="s">
        <v>48</v>
      </c>
      <c r="KH6" s="1" t="s">
        <v>17</v>
      </c>
      <c r="KI6" s="1" t="s">
        <v>28</v>
      </c>
      <c r="KJ6" s="1" t="s">
        <v>33</v>
      </c>
      <c r="KK6" s="1" t="s">
        <v>33</v>
      </c>
      <c r="KL6" s="1" t="s">
        <v>13</v>
      </c>
      <c r="KM6" s="1" t="s">
        <v>23</v>
      </c>
      <c r="KN6" s="1" t="s">
        <v>28</v>
      </c>
      <c r="KO6" s="1" t="s">
        <v>36</v>
      </c>
      <c r="KP6" s="1" t="s">
        <v>36</v>
      </c>
      <c r="KQ6" s="1" t="s">
        <v>46</v>
      </c>
      <c r="KR6" s="1" t="s">
        <v>48</v>
      </c>
      <c r="KS6" s="1" t="s">
        <v>42</v>
      </c>
      <c r="KT6" s="1" t="s">
        <v>33</v>
      </c>
      <c r="KU6" s="1" t="s">
        <v>43</v>
      </c>
      <c r="KV6" s="1" t="s">
        <v>39</v>
      </c>
      <c r="KW6" s="1" t="s">
        <v>36</v>
      </c>
      <c r="KX6" s="1" t="s">
        <v>35</v>
      </c>
      <c r="KY6" s="1" t="s">
        <v>35</v>
      </c>
      <c r="KZ6" s="1" t="s">
        <v>28</v>
      </c>
      <c r="LA6" s="1" t="s">
        <v>38</v>
      </c>
      <c r="LB6" s="1" t="s">
        <v>43</v>
      </c>
      <c r="LC6" s="1" t="s">
        <v>50</v>
      </c>
      <c r="LD6" s="1" t="s">
        <v>34</v>
      </c>
      <c r="LE6" s="1" t="s">
        <v>39</v>
      </c>
      <c r="LF6" s="1" t="s">
        <v>44</v>
      </c>
      <c r="LG6" s="1" t="s">
        <v>49</v>
      </c>
      <c r="LH6" s="1" t="s">
        <v>34</v>
      </c>
      <c r="LI6" s="1" t="s">
        <v>23</v>
      </c>
      <c r="LJ6" s="1" t="s">
        <v>41</v>
      </c>
      <c r="LK6" s="1" t="s">
        <v>42</v>
      </c>
      <c r="LL6" s="1" t="s">
        <v>33</v>
      </c>
      <c r="LM6" s="1" t="s">
        <v>39</v>
      </c>
      <c r="LN6" s="1" t="s">
        <v>45</v>
      </c>
      <c r="LO6" s="1" t="s">
        <v>41</v>
      </c>
      <c r="LP6" s="1" t="s">
        <v>41</v>
      </c>
      <c r="LQ6" s="1" t="s">
        <v>36</v>
      </c>
      <c r="LR6" s="1" t="s">
        <v>17</v>
      </c>
      <c r="LS6" s="1" t="s">
        <v>45</v>
      </c>
      <c r="LT6" s="1" t="s">
        <v>37</v>
      </c>
      <c r="LU6" s="1" t="s">
        <v>48</v>
      </c>
      <c r="LV6" s="1" t="s">
        <v>41</v>
      </c>
      <c r="LW6" s="1" t="s">
        <v>40</v>
      </c>
      <c r="LX6" s="1" t="s">
        <v>28</v>
      </c>
      <c r="LY6" s="1" t="s">
        <v>47</v>
      </c>
      <c r="LZ6" s="1" t="s">
        <v>43</v>
      </c>
      <c r="MA6" s="1" t="s">
        <v>34</v>
      </c>
      <c r="MB6" s="1" t="s">
        <v>19</v>
      </c>
      <c r="MC6" s="1" t="s">
        <v>34</v>
      </c>
      <c r="MD6" s="1" t="s">
        <v>35</v>
      </c>
      <c r="ME6" s="1" t="s">
        <v>17</v>
      </c>
      <c r="MF6" s="1" t="s">
        <v>35</v>
      </c>
      <c r="MG6" s="1" t="s">
        <v>38</v>
      </c>
      <c r="MH6" s="1" t="s">
        <v>23</v>
      </c>
      <c r="MI6" s="1" t="s">
        <v>23</v>
      </c>
      <c r="MJ6" s="1" t="s">
        <v>13</v>
      </c>
      <c r="MK6" s="1" t="s">
        <v>49</v>
      </c>
      <c r="ML6" s="1" t="s">
        <v>37</v>
      </c>
      <c r="MM6" s="1" t="s">
        <v>43</v>
      </c>
      <c r="MN6" s="1" t="s">
        <v>19</v>
      </c>
      <c r="MO6" s="1" t="s">
        <v>23</v>
      </c>
      <c r="MP6" s="1" t="s">
        <v>48</v>
      </c>
      <c r="MQ6" s="1" t="s">
        <v>39</v>
      </c>
      <c r="MR6" s="1" t="s">
        <v>36</v>
      </c>
      <c r="MS6" s="1" t="s">
        <v>33</v>
      </c>
      <c r="MT6" s="1" t="s">
        <v>39</v>
      </c>
      <c r="MU6" s="1" t="s">
        <v>39</v>
      </c>
      <c r="MV6" s="1" t="s">
        <v>33</v>
      </c>
      <c r="MW6" s="1" t="s">
        <v>19</v>
      </c>
      <c r="MX6" s="1" t="s">
        <v>40</v>
      </c>
      <c r="MY6" s="1" t="s">
        <v>33</v>
      </c>
      <c r="MZ6" s="1" t="s">
        <v>43</v>
      </c>
      <c r="NA6" s="1" t="s">
        <v>48</v>
      </c>
      <c r="NB6" s="1" t="s">
        <v>36</v>
      </c>
      <c r="NC6" s="1" t="s">
        <v>44</v>
      </c>
      <c r="ND6" s="1" t="s">
        <v>43</v>
      </c>
      <c r="NE6" s="1" t="s">
        <v>13</v>
      </c>
      <c r="NF6" s="1" t="s">
        <v>23</v>
      </c>
      <c r="NG6" s="1" t="s">
        <v>44</v>
      </c>
      <c r="NH6" s="1" t="s">
        <v>49</v>
      </c>
      <c r="NI6" s="1" t="s">
        <v>44</v>
      </c>
      <c r="NJ6" s="1" t="s">
        <v>36</v>
      </c>
      <c r="NK6" s="1" t="s">
        <v>39</v>
      </c>
      <c r="NL6" s="1" t="s">
        <v>41</v>
      </c>
      <c r="NM6" s="1" t="s">
        <v>40</v>
      </c>
      <c r="NN6" s="1" t="s">
        <v>38</v>
      </c>
      <c r="NO6" s="1" t="s">
        <v>45</v>
      </c>
      <c r="NP6" s="1" t="s">
        <v>50</v>
      </c>
      <c r="NQ6" s="1" t="s">
        <v>37</v>
      </c>
      <c r="NR6" s="1" t="s">
        <v>38</v>
      </c>
      <c r="NS6" s="1" t="s">
        <v>23</v>
      </c>
      <c r="NT6" s="1" t="s">
        <v>33</v>
      </c>
      <c r="NU6" s="1" t="s">
        <v>37</v>
      </c>
      <c r="NV6" s="1" t="s">
        <v>45</v>
      </c>
      <c r="NW6" s="1" t="s">
        <v>49</v>
      </c>
      <c r="NX6" s="1" t="s">
        <v>19</v>
      </c>
      <c r="NY6" s="1" t="s">
        <v>25</v>
      </c>
      <c r="NZ6" s="1" t="s">
        <v>50</v>
      </c>
      <c r="OA6" s="1" t="s">
        <v>33</v>
      </c>
      <c r="OB6" s="1" t="s">
        <v>47</v>
      </c>
      <c r="OC6" s="1" t="s">
        <v>41</v>
      </c>
      <c r="OD6" s="1" t="s">
        <v>41</v>
      </c>
      <c r="OE6" s="1" t="s">
        <v>34</v>
      </c>
      <c r="OF6" s="1" t="s">
        <v>23</v>
      </c>
      <c r="OG6" s="1" t="s">
        <v>35</v>
      </c>
      <c r="OH6" s="1" t="s">
        <v>25</v>
      </c>
      <c r="OI6" s="1" t="s">
        <v>44</v>
      </c>
      <c r="OJ6" s="1" t="s">
        <v>28</v>
      </c>
      <c r="OK6" s="1" t="s">
        <v>41</v>
      </c>
      <c r="OL6" s="1" t="s">
        <v>33</v>
      </c>
      <c r="OM6" s="1" t="s">
        <v>35</v>
      </c>
      <c r="ON6" s="1" t="s">
        <v>23</v>
      </c>
      <c r="OO6" s="1" t="s">
        <v>47</v>
      </c>
      <c r="OP6" s="1" t="s">
        <v>47</v>
      </c>
      <c r="OQ6" s="1" t="s">
        <v>35</v>
      </c>
      <c r="OR6" s="1" t="s">
        <v>36</v>
      </c>
      <c r="OS6" s="1" t="s">
        <v>44</v>
      </c>
      <c r="OT6" s="1" t="s">
        <v>25</v>
      </c>
      <c r="OU6" s="1" t="s">
        <v>34</v>
      </c>
      <c r="OV6" s="1" t="s">
        <v>28</v>
      </c>
      <c r="OW6" s="1" t="s">
        <v>44</v>
      </c>
      <c r="OX6" s="1" t="s">
        <v>36</v>
      </c>
      <c r="OY6" s="1" t="s">
        <v>23</v>
      </c>
      <c r="OZ6" s="1" t="s">
        <v>48</v>
      </c>
      <c r="PA6" s="1" t="s">
        <v>44</v>
      </c>
      <c r="PB6" s="1" t="s">
        <v>45</v>
      </c>
      <c r="PC6" s="1" t="s">
        <v>38</v>
      </c>
      <c r="PD6" s="1" t="s">
        <v>17</v>
      </c>
      <c r="PE6" s="1" t="s">
        <v>47</v>
      </c>
      <c r="PF6" s="1" t="s">
        <v>45</v>
      </c>
      <c r="PG6" s="1" t="s">
        <v>45</v>
      </c>
      <c r="PH6" s="1" t="s">
        <v>41</v>
      </c>
      <c r="PI6" s="1" t="s">
        <v>38</v>
      </c>
      <c r="PJ6" s="1" t="s">
        <v>25</v>
      </c>
      <c r="PK6" s="1" t="s">
        <v>19</v>
      </c>
      <c r="PL6" s="1" t="s">
        <v>37</v>
      </c>
      <c r="PM6" s="1" t="s">
        <v>35</v>
      </c>
      <c r="PN6" s="1" t="s">
        <v>38</v>
      </c>
      <c r="PO6" s="1" t="s">
        <v>50</v>
      </c>
      <c r="PP6" s="1" t="s">
        <v>35</v>
      </c>
      <c r="PQ6" s="1" t="s">
        <v>42</v>
      </c>
      <c r="PR6" s="1" t="s">
        <v>35</v>
      </c>
      <c r="PS6" s="1" t="s">
        <v>13</v>
      </c>
      <c r="PT6" s="1" t="s">
        <v>38</v>
      </c>
      <c r="PU6" s="1" t="s">
        <v>41</v>
      </c>
      <c r="PV6" s="1" t="s">
        <v>43</v>
      </c>
      <c r="PW6" s="1" t="s">
        <v>42</v>
      </c>
      <c r="PX6" s="1" t="s">
        <v>35</v>
      </c>
      <c r="PY6" s="1" t="s">
        <v>34</v>
      </c>
      <c r="PZ6" s="1" t="s">
        <v>46</v>
      </c>
      <c r="QA6" s="1" t="s">
        <v>39</v>
      </c>
      <c r="QB6" s="1" t="s">
        <v>46</v>
      </c>
      <c r="QC6" s="1" t="s">
        <v>19</v>
      </c>
      <c r="QD6" s="1" t="s">
        <v>33</v>
      </c>
      <c r="QE6" s="1" t="s">
        <v>17</v>
      </c>
      <c r="QF6" s="1" t="s">
        <v>50</v>
      </c>
      <c r="QG6" s="1" t="s">
        <v>13</v>
      </c>
      <c r="QH6" s="1" t="s">
        <v>47</v>
      </c>
      <c r="QI6" s="1" t="s">
        <v>19</v>
      </c>
      <c r="QJ6" s="1" t="s">
        <v>40</v>
      </c>
      <c r="QK6" s="1" t="s">
        <v>49</v>
      </c>
      <c r="QL6" s="1" t="s">
        <v>17</v>
      </c>
      <c r="QM6" s="1" t="s">
        <v>39</v>
      </c>
      <c r="QN6" s="1" t="s">
        <v>45</v>
      </c>
      <c r="QO6" s="1" t="s">
        <v>17</v>
      </c>
      <c r="QP6" s="1" t="s">
        <v>17</v>
      </c>
      <c r="QQ6" s="1" t="s">
        <v>37</v>
      </c>
      <c r="QR6" s="1" t="s">
        <v>44</v>
      </c>
      <c r="QS6" s="1" t="s">
        <v>34</v>
      </c>
      <c r="QT6" s="1" t="s">
        <v>45</v>
      </c>
      <c r="QU6" s="1" t="s">
        <v>45</v>
      </c>
      <c r="QV6" s="1" t="s">
        <v>23</v>
      </c>
      <c r="QW6" s="1" t="s">
        <v>46</v>
      </c>
      <c r="QX6" s="1" t="s">
        <v>28</v>
      </c>
      <c r="QY6" s="1" t="s">
        <v>28</v>
      </c>
      <c r="QZ6" s="1" t="s">
        <v>50</v>
      </c>
      <c r="RA6" s="1" t="s">
        <v>40</v>
      </c>
      <c r="RB6" s="1" t="s">
        <v>33</v>
      </c>
      <c r="RC6" s="1" t="s">
        <v>23</v>
      </c>
      <c r="RD6" s="1" t="s">
        <v>33</v>
      </c>
      <c r="RE6" s="1" t="s">
        <v>33</v>
      </c>
      <c r="RF6" s="1" t="s">
        <v>33</v>
      </c>
      <c r="RG6" s="1" t="s">
        <v>17</v>
      </c>
      <c r="RH6" s="1" t="s">
        <v>37</v>
      </c>
      <c r="RI6" s="1" t="s">
        <v>13</v>
      </c>
      <c r="RJ6" s="1" t="s">
        <v>33</v>
      </c>
      <c r="RK6" s="1" t="s">
        <v>43</v>
      </c>
      <c r="RL6" s="1" t="s">
        <v>49</v>
      </c>
      <c r="RM6" s="1" t="s">
        <v>23</v>
      </c>
      <c r="RN6" s="1" t="s">
        <v>34</v>
      </c>
      <c r="RO6" s="1" t="s">
        <v>48</v>
      </c>
      <c r="RP6" s="1" t="s">
        <v>42</v>
      </c>
      <c r="RQ6" s="1" t="s">
        <v>46</v>
      </c>
      <c r="RR6" s="1" t="s">
        <v>28</v>
      </c>
      <c r="RS6" s="1" t="s">
        <v>44</v>
      </c>
      <c r="RT6" s="1" t="s">
        <v>36</v>
      </c>
      <c r="RU6" s="1" t="s">
        <v>41</v>
      </c>
      <c r="RV6" s="1" t="s">
        <v>43</v>
      </c>
      <c r="RW6" s="1" t="s">
        <v>19</v>
      </c>
      <c r="RX6" s="1" t="s">
        <v>44</v>
      </c>
      <c r="RY6" s="1" t="s">
        <v>19</v>
      </c>
      <c r="RZ6" s="1" t="s">
        <v>49</v>
      </c>
      <c r="SA6" s="1" t="s">
        <v>48</v>
      </c>
      <c r="SB6" s="1" t="s">
        <v>40</v>
      </c>
      <c r="SC6" s="1" t="s">
        <v>41</v>
      </c>
      <c r="SD6" s="1" t="s">
        <v>25</v>
      </c>
      <c r="SE6" s="1" t="s">
        <v>23</v>
      </c>
      <c r="SF6" s="1" t="s">
        <v>41</v>
      </c>
      <c r="SG6" s="1" t="s">
        <v>46</v>
      </c>
    </row>
    <row r="7" spans="1:501" x14ac:dyDescent="0.3">
      <c r="A7" s="3" t="s">
        <v>6</v>
      </c>
      <c r="B7" s="1" t="s">
        <v>14</v>
      </c>
      <c r="C7" s="1" t="s">
        <v>18</v>
      </c>
      <c r="D7" s="1" t="s">
        <v>20</v>
      </c>
      <c r="E7" s="1" t="s">
        <v>14</v>
      </c>
      <c r="F7" s="1" t="s">
        <v>14</v>
      </c>
      <c r="G7" s="1" t="s">
        <v>20</v>
      </c>
      <c r="H7" s="1" t="s">
        <v>30</v>
      </c>
      <c r="I7" s="1" t="s">
        <v>32</v>
      </c>
      <c r="J7" s="1" t="s">
        <v>18</v>
      </c>
      <c r="K7" s="1" t="s">
        <v>32</v>
      </c>
      <c r="L7" s="1" t="s">
        <v>20</v>
      </c>
      <c r="M7" s="1" t="s">
        <v>14</v>
      </c>
      <c r="N7" s="1" t="s">
        <v>14</v>
      </c>
      <c r="O7" s="1" t="s">
        <v>18</v>
      </c>
      <c r="P7" s="1" t="s">
        <v>14</v>
      </c>
      <c r="Q7" s="1" t="s">
        <v>14</v>
      </c>
      <c r="R7" s="1" t="s">
        <v>18</v>
      </c>
      <c r="S7" s="1" t="s">
        <v>18</v>
      </c>
      <c r="T7" s="1" t="s">
        <v>20</v>
      </c>
      <c r="U7" s="1" t="s">
        <v>14</v>
      </c>
      <c r="V7" s="1" t="s">
        <v>14</v>
      </c>
      <c r="W7" s="1" t="s">
        <v>20</v>
      </c>
      <c r="X7" s="1" t="s">
        <v>30</v>
      </c>
      <c r="Y7" s="1" t="s">
        <v>30</v>
      </c>
      <c r="Z7" s="1" t="s">
        <v>30</v>
      </c>
      <c r="AA7" s="1" t="s">
        <v>20</v>
      </c>
      <c r="AB7" s="1" t="s">
        <v>14</v>
      </c>
      <c r="AC7" s="1" t="s">
        <v>20</v>
      </c>
      <c r="AD7" s="1" t="s">
        <v>20</v>
      </c>
      <c r="AE7" s="1" t="s">
        <v>30</v>
      </c>
      <c r="AF7" s="1" t="s">
        <v>32</v>
      </c>
      <c r="AG7" s="1" t="s">
        <v>14</v>
      </c>
      <c r="AH7" s="1" t="s">
        <v>30</v>
      </c>
      <c r="AI7" s="1" t="s">
        <v>32</v>
      </c>
      <c r="AJ7" s="1" t="s">
        <v>32</v>
      </c>
      <c r="AK7" s="1" t="s">
        <v>18</v>
      </c>
      <c r="AL7" s="1" t="s">
        <v>14</v>
      </c>
      <c r="AM7" s="1" t="s">
        <v>32</v>
      </c>
      <c r="AN7" s="1" t="s">
        <v>30</v>
      </c>
      <c r="AO7" s="1" t="s">
        <v>18</v>
      </c>
      <c r="AP7" s="1" t="s">
        <v>14</v>
      </c>
      <c r="AQ7" s="1" t="s">
        <v>20</v>
      </c>
      <c r="AR7" s="1" t="s">
        <v>30</v>
      </c>
      <c r="AS7" s="1" t="s">
        <v>32</v>
      </c>
      <c r="AT7" s="1" t="s">
        <v>32</v>
      </c>
      <c r="AU7" s="1" t="s">
        <v>30</v>
      </c>
      <c r="AV7" s="1" t="s">
        <v>32</v>
      </c>
      <c r="AW7" s="1" t="s">
        <v>18</v>
      </c>
      <c r="AX7" s="1" t="s">
        <v>14</v>
      </c>
      <c r="AY7" s="1" t="s">
        <v>18</v>
      </c>
      <c r="AZ7" s="1" t="s">
        <v>32</v>
      </c>
      <c r="BA7" s="1" t="s">
        <v>20</v>
      </c>
      <c r="BB7" s="1" t="s">
        <v>14</v>
      </c>
      <c r="BC7" s="1" t="s">
        <v>14</v>
      </c>
      <c r="BD7" s="1" t="s">
        <v>30</v>
      </c>
      <c r="BE7" s="1" t="s">
        <v>30</v>
      </c>
      <c r="BF7" s="1" t="s">
        <v>20</v>
      </c>
      <c r="BG7" s="1" t="s">
        <v>14</v>
      </c>
      <c r="BH7" s="1" t="s">
        <v>20</v>
      </c>
      <c r="BI7" s="1" t="s">
        <v>30</v>
      </c>
      <c r="BJ7" s="1" t="s">
        <v>30</v>
      </c>
      <c r="BK7" s="1" t="s">
        <v>14</v>
      </c>
      <c r="BL7" s="1" t="s">
        <v>18</v>
      </c>
      <c r="BM7" s="1" t="s">
        <v>32</v>
      </c>
      <c r="BN7" s="1" t="s">
        <v>30</v>
      </c>
      <c r="BO7" s="1" t="s">
        <v>30</v>
      </c>
      <c r="BP7" s="1" t="s">
        <v>18</v>
      </c>
      <c r="BQ7" s="1" t="s">
        <v>18</v>
      </c>
      <c r="BR7" s="1" t="s">
        <v>20</v>
      </c>
      <c r="BS7" s="1" t="s">
        <v>20</v>
      </c>
      <c r="BT7" s="1" t="s">
        <v>32</v>
      </c>
      <c r="BU7" s="1" t="s">
        <v>32</v>
      </c>
      <c r="BV7" s="1" t="s">
        <v>14</v>
      </c>
      <c r="BW7" s="1" t="s">
        <v>20</v>
      </c>
      <c r="BX7" s="1" t="s">
        <v>30</v>
      </c>
      <c r="BY7" s="1" t="s">
        <v>20</v>
      </c>
      <c r="BZ7" s="1" t="s">
        <v>30</v>
      </c>
      <c r="CA7" s="1" t="s">
        <v>18</v>
      </c>
      <c r="CB7" s="1" t="s">
        <v>20</v>
      </c>
      <c r="CC7" s="1" t="s">
        <v>18</v>
      </c>
      <c r="CD7" s="1" t="s">
        <v>32</v>
      </c>
      <c r="CE7" s="1" t="s">
        <v>32</v>
      </c>
      <c r="CF7" s="1" t="s">
        <v>14</v>
      </c>
      <c r="CG7" s="1" t="s">
        <v>20</v>
      </c>
      <c r="CH7" s="1" t="s">
        <v>18</v>
      </c>
      <c r="CI7" s="1" t="s">
        <v>30</v>
      </c>
      <c r="CJ7" s="1" t="s">
        <v>32</v>
      </c>
      <c r="CK7" s="1" t="s">
        <v>32</v>
      </c>
      <c r="CL7" s="1" t="s">
        <v>30</v>
      </c>
      <c r="CM7" s="1" t="s">
        <v>18</v>
      </c>
      <c r="CN7" s="1" t="s">
        <v>18</v>
      </c>
      <c r="CO7" s="1" t="s">
        <v>20</v>
      </c>
      <c r="CP7" s="1" t="s">
        <v>20</v>
      </c>
      <c r="CQ7" s="1" t="s">
        <v>14</v>
      </c>
      <c r="CR7" s="1" t="s">
        <v>32</v>
      </c>
      <c r="CS7" s="1" t="s">
        <v>20</v>
      </c>
      <c r="CT7" s="1" t="s">
        <v>18</v>
      </c>
      <c r="CU7" s="1" t="s">
        <v>30</v>
      </c>
      <c r="CV7" s="1" t="s">
        <v>18</v>
      </c>
      <c r="CW7" s="1" t="s">
        <v>32</v>
      </c>
      <c r="CX7" s="1" t="s">
        <v>18</v>
      </c>
      <c r="CY7" s="1" t="s">
        <v>14</v>
      </c>
      <c r="CZ7" s="1" t="s">
        <v>32</v>
      </c>
      <c r="DA7" s="1" t="s">
        <v>30</v>
      </c>
      <c r="DB7" s="1" t="s">
        <v>14</v>
      </c>
      <c r="DC7" s="1" t="s">
        <v>32</v>
      </c>
      <c r="DD7" s="1" t="s">
        <v>30</v>
      </c>
      <c r="DE7" s="1" t="s">
        <v>14</v>
      </c>
      <c r="DF7" s="1" t="s">
        <v>14</v>
      </c>
      <c r="DG7" s="1" t="s">
        <v>32</v>
      </c>
      <c r="DH7" s="1" t="s">
        <v>20</v>
      </c>
      <c r="DI7" s="1" t="s">
        <v>14</v>
      </c>
      <c r="DJ7" s="1" t="s">
        <v>14</v>
      </c>
      <c r="DK7" s="1" t="s">
        <v>30</v>
      </c>
      <c r="DL7" s="1" t="s">
        <v>18</v>
      </c>
      <c r="DM7" s="1" t="s">
        <v>32</v>
      </c>
      <c r="DN7" s="1" t="s">
        <v>32</v>
      </c>
      <c r="DO7" s="1" t="s">
        <v>20</v>
      </c>
      <c r="DP7" s="1" t="s">
        <v>20</v>
      </c>
      <c r="DQ7" s="1" t="s">
        <v>32</v>
      </c>
      <c r="DR7" s="1" t="s">
        <v>20</v>
      </c>
      <c r="DS7" s="1" t="s">
        <v>30</v>
      </c>
      <c r="DT7" s="1" t="s">
        <v>32</v>
      </c>
      <c r="DU7" s="1" t="s">
        <v>20</v>
      </c>
      <c r="DV7" s="1" t="s">
        <v>32</v>
      </c>
      <c r="DW7" s="1" t="s">
        <v>18</v>
      </c>
      <c r="DX7" s="1" t="s">
        <v>14</v>
      </c>
      <c r="DY7" s="1" t="s">
        <v>32</v>
      </c>
      <c r="DZ7" s="1" t="s">
        <v>14</v>
      </c>
      <c r="EA7" s="1" t="s">
        <v>20</v>
      </c>
      <c r="EB7" s="1" t="s">
        <v>14</v>
      </c>
      <c r="EC7" s="1" t="s">
        <v>32</v>
      </c>
      <c r="ED7" s="1" t="s">
        <v>18</v>
      </c>
      <c r="EE7" s="1" t="s">
        <v>20</v>
      </c>
      <c r="EF7" s="1" t="s">
        <v>32</v>
      </c>
      <c r="EG7" s="1" t="s">
        <v>20</v>
      </c>
      <c r="EH7" s="1" t="s">
        <v>30</v>
      </c>
      <c r="EI7" s="1" t="s">
        <v>14</v>
      </c>
      <c r="EJ7" s="1" t="s">
        <v>30</v>
      </c>
      <c r="EK7" s="1" t="s">
        <v>32</v>
      </c>
      <c r="EL7" s="1" t="s">
        <v>18</v>
      </c>
      <c r="EM7" s="1" t="s">
        <v>20</v>
      </c>
      <c r="EN7" s="1" t="s">
        <v>14</v>
      </c>
      <c r="EO7" s="1" t="s">
        <v>20</v>
      </c>
      <c r="EP7" s="1" t="s">
        <v>32</v>
      </c>
      <c r="EQ7" s="1" t="s">
        <v>20</v>
      </c>
      <c r="ER7" s="1" t="s">
        <v>14</v>
      </c>
      <c r="ES7" s="1" t="s">
        <v>32</v>
      </c>
      <c r="ET7" s="1" t="s">
        <v>20</v>
      </c>
      <c r="EU7" s="1" t="s">
        <v>18</v>
      </c>
      <c r="EV7" s="1" t="s">
        <v>32</v>
      </c>
      <c r="EW7" s="1" t="s">
        <v>32</v>
      </c>
      <c r="EX7" s="1" t="s">
        <v>18</v>
      </c>
      <c r="EY7" s="1" t="s">
        <v>30</v>
      </c>
      <c r="EZ7" s="1" t="s">
        <v>14</v>
      </c>
      <c r="FA7" s="1" t="s">
        <v>30</v>
      </c>
      <c r="FB7" s="1" t="s">
        <v>20</v>
      </c>
      <c r="FC7" s="1" t="s">
        <v>18</v>
      </c>
      <c r="FD7" s="1" t="s">
        <v>30</v>
      </c>
      <c r="FE7" s="1" t="s">
        <v>32</v>
      </c>
      <c r="FF7" s="1" t="s">
        <v>20</v>
      </c>
      <c r="FG7" s="1" t="s">
        <v>20</v>
      </c>
      <c r="FH7" s="1" t="s">
        <v>30</v>
      </c>
      <c r="FI7" s="1" t="s">
        <v>30</v>
      </c>
      <c r="FJ7" s="1" t="s">
        <v>18</v>
      </c>
      <c r="FK7" s="1" t="s">
        <v>14</v>
      </c>
      <c r="FL7" s="1" t="s">
        <v>30</v>
      </c>
      <c r="FM7" s="1" t="s">
        <v>30</v>
      </c>
      <c r="FN7" s="1" t="s">
        <v>32</v>
      </c>
      <c r="FO7" s="1" t="s">
        <v>20</v>
      </c>
      <c r="FP7" s="1" t="s">
        <v>14</v>
      </c>
      <c r="FQ7" s="1" t="s">
        <v>32</v>
      </c>
      <c r="FR7" s="1" t="s">
        <v>18</v>
      </c>
      <c r="FS7" s="1" t="s">
        <v>18</v>
      </c>
      <c r="FT7" s="1" t="s">
        <v>30</v>
      </c>
      <c r="FU7" s="1" t="s">
        <v>30</v>
      </c>
      <c r="FV7" s="1" t="s">
        <v>18</v>
      </c>
      <c r="FW7" s="1" t="s">
        <v>30</v>
      </c>
      <c r="FX7" s="1" t="s">
        <v>14</v>
      </c>
      <c r="FY7" s="1" t="s">
        <v>30</v>
      </c>
      <c r="FZ7" s="1" t="s">
        <v>20</v>
      </c>
      <c r="GA7" s="1" t="s">
        <v>30</v>
      </c>
      <c r="GB7" s="1" t="s">
        <v>32</v>
      </c>
      <c r="GC7" s="1" t="s">
        <v>14</v>
      </c>
      <c r="GD7" s="1" t="s">
        <v>32</v>
      </c>
      <c r="GE7" s="1" t="s">
        <v>32</v>
      </c>
      <c r="GF7" s="1" t="s">
        <v>20</v>
      </c>
      <c r="GG7" s="1" t="s">
        <v>14</v>
      </c>
      <c r="GH7" s="1" t="s">
        <v>14</v>
      </c>
      <c r="GI7" s="1" t="s">
        <v>14</v>
      </c>
      <c r="GJ7" s="1" t="s">
        <v>14</v>
      </c>
      <c r="GK7" s="1" t="s">
        <v>14</v>
      </c>
      <c r="GL7" s="1" t="s">
        <v>20</v>
      </c>
      <c r="GM7" s="1" t="s">
        <v>30</v>
      </c>
      <c r="GN7" s="1" t="s">
        <v>32</v>
      </c>
      <c r="GO7" s="1" t="s">
        <v>14</v>
      </c>
      <c r="GP7" s="1" t="s">
        <v>30</v>
      </c>
      <c r="GQ7" s="1" t="s">
        <v>30</v>
      </c>
      <c r="GR7" s="1" t="s">
        <v>32</v>
      </c>
      <c r="GS7" s="1" t="s">
        <v>20</v>
      </c>
      <c r="GT7" s="1" t="s">
        <v>18</v>
      </c>
      <c r="GU7" s="1" t="s">
        <v>18</v>
      </c>
      <c r="GV7" s="1" t="s">
        <v>30</v>
      </c>
      <c r="GW7" s="1" t="s">
        <v>32</v>
      </c>
      <c r="GX7" s="1" t="s">
        <v>18</v>
      </c>
      <c r="GY7" s="1" t="s">
        <v>30</v>
      </c>
      <c r="GZ7" s="1" t="s">
        <v>20</v>
      </c>
      <c r="HA7" s="1" t="s">
        <v>18</v>
      </c>
      <c r="HB7" s="1" t="s">
        <v>30</v>
      </c>
      <c r="HC7" s="1" t="s">
        <v>30</v>
      </c>
      <c r="HD7" s="1" t="s">
        <v>14</v>
      </c>
      <c r="HE7" s="1" t="s">
        <v>20</v>
      </c>
      <c r="HF7" s="1" t="s">
        <v>14</v>
      </c>
      <c r="HG7" s="1" t="s">
        <v>32</v>
      </c>
      <c r="HH7" s="1" t="s">
        <v>14</v>
      </c>
      <c r="HI7" s="1" t="s">
        <v>14</v>
      </c>
      <c r="HJ7" s="1" t="s">
        <v>18</v>
      </c>
      <c r="HK7" s="1" t="s">
        <v>30</v>
      </c>
      <c r="HL7" s="1" t="s">
        <v>20</v>
      </c>
      <c r="HM7" s="1" t="s">
        <v>14</v>
      </c>
      <c r="HN7" s="1" t="s">
        <v>20</v>
      </c>
      <c r="HO7" s="1" t="s">
        <v>14</v>
      </c>
      <c r="HP7" s="1" t="s">
        <v>32</v>
      </c>
      <c r="HQ7" s="1" t="s">
        <v>14</v>
      </c>
      <c r="HR7" s="1" t="s">
        <v>18</v>
      </c>
      <c r="HS7" s="1" t="s">
        <v>30</v>
      </c>
      <c r="HT7" s="1" t="s">
        <v>32</v>
      </c>
      <c r="HU7" s="1" t="s">
        <v>14</v>
      </c>
      <c r="HV7" s="1" t="s">
        <v>20</v>
      </c>
      <c r="HW7" s="1" t="s">
        <v>32</v>
      </c>
      <c r="HX7" s="1" t="s">
        <v>32</v>
      </c>
      <c r="HY7" s="1" t="s">
        <v>14</v>
      </c>
      <c r="HZ7" s="1" t="s">
        <v>32</v>
      </c>
      <c r="IA7" s="1" t="s">
        <v>20</v>
      </c>
      <c r="IB7" s="1" t="s">
        <v>32</v>
      </c>
      <c r="IC7" s="1" t="s">
        <v>20</v>
      </c>
      <c r="ID7" s="1" t="s">
        <v>14</v>
      </c>
      <c r="IE7" s="1" t="s">
        <v>30</v>
      </c>
      <c r="IF7" s="1" t="s">
        <v>32</v>
      </c>
      <c r="IG7" s="1" t="s">
        <v>30</v>
      </c>
      <c r="IH7" s="1" t="s">
        <v>20</v>
      </c>
      <c r="II7" s="1" t="s">
        <v>32</v>
      </c>
      <c r="IJ7" s="1" t="s">
        <v>18</v>
      </c>
      <c r="IK7" s="1" t="s">
        <v>30</v>
      </c>
      <c r="IL7" s="1" t="s">
        <v>32</v>
      </c>
      <c r="IM7" s="1" t="s">
        <v>30</v>
      </c>
      <c r="IN7" s="1" t="s">
        <v>32</v>
      </c>
      <c r="IO7" s="1" t="s">
        <v>14</v>
      </c>
      <c r="IP7" s="1" t="s">
        <v>30</v>
      </c>
      <c r="IQ7" s="1" t="s">
        <v>18</v>
      </c>
      <c r="IR7" s="1" t="s">
        <v>18</v>
      </c>
      <c r="IS7" s="1" t="s">
        <v>20</v>
      </c>
      <c r="IT7" s="1" t="s">
        <v>32</v>
      </c>
      <c r="IU7" s="1" t="s">
        <v>30</v>
      </c>
      <c r="IV7" s="1" t="s">
        <v>20</v>
      </c>
      <c r="IW7" s="1" t="s">
        <v>30</v>
      </c>
      <c r="IX7" s="1" t="s">
        <v>32</v>
      </c>
      <c r="IY7" s="1" t="s">
        <v>18</v>
      </c>
      <c r="IZ7" s="1" t="s">
        <v>14</v>
      </c>
      <c r="JA7" s="1" t="s">
        <v>18</v>
      </c>
      <c r="JB7" s="1" t="s">
        <v>20</v>
      </c>
      <c r="JC7" s="1" t="s">
        <v>14</v>
      </c>
      <c r="JD7" s="1" t="s">
        <v>20</v>
      </c>
      <c r="JE7" s="1" t="s">
        <v>32</v>
      </c>
      <c r="JF7" s="1" t="s">
        <v>14</v>
      </c>
      <c r="JG7" s="1" t="s">
        <v>20</v>
      </c>
      <c r="JH7" s="1" t="s">
        <v>32</v>
      </c>
      <c r="JI7" s="1" t="s">
        <v>18</v>
      </c>
      <c r="JJ7" s="1" t="s">
        <v>32</v>
      </c>
      <c r="JK7" s="1" t="s">
        <v>30</v>
      </c>
      <c r="JL7" s="1" t="s">
        <v>32</v>
      </c>
      <c r="JM7" s="1" t="s">
        <v>32</v>
      </c>
      <c r="JN7" s="1" t="s">
        <v>30</v>
      </c>
      <c r="JO7" s="1" t="s">
        <v>20</v>
      </c>
      <c r="JP7" s="1" t="s">
        <v>20</v>
      </c>
      <c r="JQ7" s="1" t="s">
        <v>32</v>
      </c>
      <c r="JR7" s="1" t="s">
        <v>30</v>
      </c>
      <c r="JS7" s="1" t="s">
        <v>30</v>
      </c>
      <c r="JT7" s="1" t="s">
        <v>18</v>
      </c>
      <c r="JU7" s="1" t="s">
        <v>20</v>
      </c>
      <c r="JV7" s="1" t="s">
        <v>14</v>
      </c>
      <c r="JW7" s="1" t="s">
        <v>20</v>
      </c>
      <c r="JX7" s="1" t="s">
        <v>20</v>
      </c>
      <c r="JY7" s="1" t="s">
        <v>18</v>
      </c>
      <c r="JZ7" s="1" t="s">
        <v>14</v>
      </c>
      <c r="KA7" s="1" t="s">
        <v>18</v>
      </c>
      <c r="KB7" s="1" t="s">
        <v>14</v>
      </c>
      <c r="KC7" s="1" t="s">
        <v>32</v>
      </c>
      <c r="KD7" s="1" t="s">
        <v>14</v>
      </c>
      <c r="KE7" s="1" t="s">
        <v>18</v>
      </c>
      <c r="KF7" s="1" t="s">
        <v>20</v>
      </c>
      <c r="KG7" s="1" t="s">
        <v>14</v>
      </c>
      <c r="KH7" s="1" t="s">
        <v>14</v>
      </c>
      <c r="KI7" s="1" t="s">
        <v>30</v>
      </c>
      <c r="KJ7" s="1" t="s">
        <v>20</v>
      </c>
      <c r="KK7" s="1" t="s">
        <v>32</v>
      </c>
      <c r="KL7" s="1" t="s">
        <v>18</v>
      </c>
      <c r="KM7" s="1" t="s">
        <v>32</v>
      </c>
      <c r="KN7" s="1" t="s">
        <v>20</v>
      </c>
      <c r="KO7" s="1" t="s">
        <v>14</v>
      </c>
      <c r="KP7" s="1" t="s">
        <v>14</v>
      </c>
      <c r="KQ7" s="1" t="s">
        <v>20</v>
      </c>
      <c r="KR7" s="1" t="s">
        <v>14</v>
      </c>
      <c r="KS7" s="1" t="s">
        <v>14</v>
      </c>
      <c r="KT7" s="1" t="s">
        <v>14</v>
      </c>
      <c r="KU7" s="1" t="s">
        <v>18</v>
      </c>
      <c r="KV7" s="1" t="s">
        <v>18</v>
      </c>
      <c r="KW7" s="1" t="s">
        <v>30</v>
      </c>
      <c r="KX7" s="1" t="s">
        <v>32</v>
      </c>
      <c r="KY7" s="1" t="s">
        <v>20</v>
      </c>
      <c r="KZ7" s="1" t="s">
        <v>20</v>
      </c>
      <c r="LA7" s="1" t="s">
        <v>20</v>
      </c>
      <c r="LB7" s="1" t="s">
        <v>30</v>
      </c>
      <c r="LC7" s="1" t="s">
        <v>18</v>
      </c>
      <c r="LD7" s="1" t="s">
        <v>30</v>
      </c>
      <c r="LE7" s="1" t="s">
        <v>20</v>
      </c>
      <c r="LF7" s="1" t="s">
        <v>32</v>
      </c>
      <c r="LG7" s="1" t="s">
        <v>14</v>
      </c>
      <c r="LH7" s="1" t="s">
        <v>18</v>
      </c>
      <c r="LI7" s="1" t="s">
        <v>18</v>
      </c>
      <c r="LJ7" s="1" t="s">
        <v>30</v>
      </c>
      <c r="LK7" s="1" t="s">
        <v>18</v>
      </c>
      <c r="LL7" s="1" t="s">
        <v>20</v>
      </c>
      <c r="LM7" s="1" t="s">
        <v>20</v>
      </c>
      <c r="LN7" s="1" t="s">
        <v>30</v>
      </c>
      <c r="LO7" s="1" t="s">
        <v>20</v>
      </c>
      <c r="LP7" s="1" t="s">
        <v>32</v>
      </c>
      <c r="LQ7" s="1" t="s">
        <v>30</v>
      </c>
      <c r="LR7" s="1" t="s">
        <v>32</v>
      </c>
      <c r="LS7" s="1" t="s">
        <v>14</v>
      </c>
      <c r="LT7" s="1" t="s">
        <v>32</v>
      </c>
      <c r="LU7" s="1" t="s">
        <v>14</v>
      </c>
      <c r="LV7" s="1" t="s">
        <v>14</v>
      </c>
      <c r="LW7" s="1" t="s">
        <v>32</v>
      </c>
      <c r="LX7" s="1" t="s">
        <v>30</v>
      </c>
      <c r="LY7" s="1" t="s">
        <v>20</v>
      </c>
      <c r="LZ7" s="1" t="s">
        <v>20</v>
      </c>
      <c r="MA7" s="1" t="s">
        <v>14</v>
      </c>
      <c r="MB7" s="1" t="s">
        <v>14</v>
      </c>
      <c r="MC7" s="1" t="s">
        <v>30</v>
      </c>
      <c r="MD7" s="1" t="s">
        <v>18</v>
      </c>
      <c r="ME7" s="1" t="s">
        <v>32</v>
      </c>
      <c r="MF7" s="1" t="s">
        <v>14</v>
      </c>
      <c r="MG7" s="1" t="s">
        <v>20</v>
      </c>
      <c r="MH7" s="1" t="s">
        <v>30</v>
      </c>
      <c r="MI7" s="1" t="s">
        <v>32</v>
      </c>
      <c r="MJ7" s="1" t="s">
        <v>30</v>
      </c>
      <c r="MK7" s="1" t="s">
        <v>32</v>
      </c>
      <c r="ML7" s="1" t="s">
        <v>32</v>
      </c>
      <c r="MM7" s="1" t="s">
        <v>14</v>
      </c>
      <c r="MN7" s="1" t="s">
        <v>30</v>
      </c>
      <c r="MO7" s="1" t="s">
        <v>30</v>
      </c>
      <c r="MP7" s="1" t="s">
        <v>20</v>
      </c>
      <c r="MQ7" s="1" t="s">
        <v>20</v>
      </c>
      <c r="MR7" s="1" t="s">
        <v>14</v>
      </c>
      <c r="MS7" s="1" t="s">
        <v>14</v>
      </c>
      <c r="MT7" s="1" t="s">
        <v>18</v>
      </c>
      <c r="MU7" s="1" t="s">
        <v>20</v>
      </c>
      <c r="MV7" s="1" t="s">
        <v>32</v>
      </c>
      <c r="MW7" s="1" t="s">
        <v>30</v>
      </c>
      <c r="MX7" s="1" t="s">
        <v>14</v>
      </c>
      <c r="MY7" s="1" t="s">
        <v>30</v>
      </c>
      <c r="MZ7" s="1" t="s">
        <v>30</v>
      </c>
      <c r="NA7" s="1" t="s">
        <v>18</v>
      </c>
      <c r="NB7" s="1" t="s">
        <v>20</v>
      </c>
      <c r="NC7" s="1" t="s">
        <v>14</v>
      </c>
      <c r="ND7" s="1" t="s">
        <v>30</v>
      </c>
      <c r="NE7" s="1" t="s">
        <v>14</v>
      </c>
      <c r="NF7" s="1" t="s">
        <v>32</v>
      </c>
      <c r="NG7" s="1" t="s">
        <v>18</v>
      </c>
      <c r="NH7" s="1" t="s">
        <v>32</v>
      </c>
      <c r="NI7" s="1" t="s">
        <v>14</v>
      </c>
      <c r="NJ7" s="1" t="s">
        <v>14</v>
      </c>
      <c r="NK7" s="1" t="s">
        <v>20</v>
      </c>
      <c r="NL7" s="1" t="s">
        <v>30</v>
      </c>
      <c r="NM7" s="1" t="s">
        <v>30</v>
      </c>
      <c r="NN7" s="1" t="s">
        <v>32</v>
      </c>
      <c r="NO7" s="1" t="s">
        <v>18</v>
      </c>
      <c r="NP7" s="1" t="s">
        <v>30</v>
      </c>
      <c r="NQ7" s="1" t="s">
        <v>20</v>
      </c>
      <c r="NR7" s="1" t="s">
        <v>32</v>
      </c>
      <c r="NS7" s="1" t="s">
        <v>32</v>
      </c>
      <c r="NT7" s="1" t="s">
        <v>20</v>
      </c>
      <c r="NU7" s="1" t="s">
        <v>18</v>
      </c>
      <c r="NV7" s="1" t="s">
        <v>20</v>
      </c>
      <c r="NW7" s="1" t="s">
        <v>18</v>
      </c>
      <c r="NX7" s="1" t="s">
        <v>20</v>
      </c>
      <c r="NY7" s="1" t="s">
        <v>20</v>
      </c>
      <c r="NZ7" s="1" t="s">
        <v>14</v>
      </c>
      <c r="OA7" s="1" t="s">
        <v>32</v>
      </c>
      <c r="OB7" s="1" t="s">
        <v>20</v>
      </c>
      <c r="OC7" s="1" t="s">
        <v>20</v>
      </c>
      <c r="OD7" s="1" t="s">
        <v>30</v>
      </c>
      <c r="OE7" s="1" t="s">
        <v>32</v>
      </c>
      <c r="OF7" s="1" t="s">
        <v>30</v>
      </c>
      <c r="OG7" s="1" t="s">
        <v>32</v>
      </c>
      <c r="OH7" s="1" t="s">
        <v>30</v>
      </c>
      <c r="OI7" s="1" t="s">
        <v>20</v>
      </c>
      <c r="OJ7" s="1" t="s">
        <v>20</v>
      </c>
      <c r="OK7" s="1" t="s">
        <v>14</v>
      </c>
      <c r="OL7" s="1" t="s">
        <v>30</v>
      </c>
      <c r="OM7" s="1" t="s">
        <v>18</v>
      </c>
      <c r="ON7" s="1" t="s">
        <v>14</v>
      </c>
      <c r="OO7" s="1" t="s">
        <v>30</v>
      </c>
      <c r="OP7" s="1" t="s">
        <v>30</v>
      </c>
      <c r="OQ7" s="1" t="s">
        <v>14</v>
      </c>
      <c r="OR7" s="1" t="s">
        <v>20</v>
      </c>
      <c r="OS7" s="1" t="s">
        <v>30</v>
      </c>
      <c r="OT7" s="1" t="s">
        <v>20</v>
      </c>
      <c r="OU7" s="1" t="s">
        <v>14</v>
      </c>
      <c r="OV7" s="1" t="s">
        <v>20</v>
      </c>
      <c r="OW7" s="1" t="s">
        <v>32</v>
      </c>
      <c r="OX7" s="1" t="s">
        <v>18</v>
      </c>
      <c r="OY7" s="1" t="s">
        <v>30</v>
      </c>
      <c r="OZ7" s="1" t="s">
        <v>18</v>
      </c>
      <c r="PA7" s="1" t="s">
        <v>20</v>
      </c>
      <c r="PB7" s="1" t="s">
        <v>30</v>
      </c>
      <c r="PC7" s="1" t="s">
        <v>20</v>
      </c>
      <c r="PD7" s="1" t="s">
        <v>32</v>
      </c>
      <c r="PE7" s="1" t="s">
        <v>14</v>
      </c>
      <c r="PF7" s="1" t="s">
        <v>30</v>
      </c>
      <c r="PG7" s="1" t="s">
        <v>32</v>
      </c>
      <c r="PH7" s="1" t="s">
        <v>32</v>
      </c>
      <c r="PI7" s="1" t="s">
        <v>30</v>
      </c>
      <c r="PJ7" s="1" t="s">
        <v>20</v>
      </c>
      <c r="PK7" s="1" t="s">
        <v>32</v>
      </c>
      <c r="PL7" s="1" t="s">
        <v>18</v>
      </c>
      <c r="PM7" s="1" t="s">
        <v>32</v>
      </c>
      <c r="PN7" s="1" t="s">
        <v>20</v>
      </c>
      <c r="PO7" s="1" t="s">
        <v>20</v>
      </c>
      <c r="PP7" s="1" t="s">
        <v>18</v>
      </c>
      <c r="PQ7" s="1" t="s">
        <v>32</v>
      </c>
      <c r="PR7" s="1" t="s">
        <v>20</v>
      </c>
      <c r="PS7" s="1" t="s">
        <v>30</v>
      </c>
      <c r="PT7" s="1" t="s">
        <v>14</v>
      </c>
      <c r="PU7" s="1" t="s">
        <v>14</v>
      </c>
      <c r="PV7" s="1" t="s">
        <v>14</v>
      </c>
      <c r="PW7" s="1" t="s">
        <v>32</v>
      </c>
      <c r="PX7" s="1" t="s">
        <v>18</v>
      </c>
      <c r="PY7" s="1" t="s">
        <v>20</v>
      </c>
      <c r="PZ7" s="1" t="s">
        <v>30</v>
      </c>
      <c r="QA7" s="1" t="s">
        <v>30</v>
      </c>
      <c r="QB7" s="1" t="s">
        <v>32</v>
      </c>
      <c r="QC7" s="1" t="s">
        <v>14</v>
      </c>
      <c r="QD7" s="1" t="s">
        <v>32</v>
      </c>
      <c r="QE7" s="1" t="s">
        <v>18</v>
      </c>
      <c r="QF7" s="1" t="s">
        <v>18</v>
      </c>
      <c r="QG7" s="1" t="s">
        <v>20</v>
      </c>
      <c r="QH7" s="1" t="s">
        <v>20</v>
      </c>
      <c r="QI7" s="1" t="s">
        <v>18</v>
      </c>
      <c r="QJ7" s="1" t="s">
        <v>18</v>
      </c>
      <c r="QK7" s="1" t="s">
        <v>18</v>
      </c>
      <c r="QL7" s="1" t="s">
        <v>32</v>
      </c>
      <c r="QM7" s="1" t="s">
        <v>18</v>
      </c>
      <c r="QN7" s="1" t="s">
        <v>30</v>
      </c>
      <c r="QO7" s="1" t="s">
        <v>14</v>
      </c>
      <c r="QP7" s="1" t="s">
        <v>18</v>
      </c>
      <c r="QQ7" s="1" t="s">
        <v>14</v>
      </c>
      <c r="QR7" s="1" t="s">
        <v>32</v>
      </c>
      <c r="QS7" s="1" t="s">
        <v>14</v>
      </c>
      <c r="QT7" s="1" t="s">
        <v>32</v>
      </c>
      <c r="QU7" s="1" t="s">
        <v>30</v>
      </c>
      <c r="QV7" s="1" t="s">
        <v>32</v>
      </c>
      <c r="QW7" s="1" t="s">
        <v>32</v>
      </c>
      <c r="QX7" s="1" t="s">
        <v>20</v>
      </c>
      <c r="QY7" s="1" t="s">
        <v>18</v>
      </c>
      <c r="QZ7" s="1" t="s">
        <v>18</v>
      </c>
      <c r="RA7" s="1" t="s">
        <v>30</v>
      </c>
      <c r="RB7" s="1" t="s">
        <v>30</v>
      </c>
      <c r="RC7" s="1" t="s">
        <v>18</v>
      </c>
      <c r="RD7" s="1" t="s">
        <v>20</v>
      </c>
      <c r="RE7" s="1" t="s">
        <v>18</v>
      </c>
      <c r="RF7" s="1" t="s">
        <v>20</v>
      </c>
      <c r="RG7" s="1" t="s">
        <v>30</v>
      </c>
      <c r="RH7" s="1" t="s">
        <v>14</v>
      </c>
      <c r="RI7" s="1" t="s">
        <v>30</v>
      </c>
      <c r="RJ7" s="1" t="s">
        <v>30</v>
      </c>
      <c r="RK7" s="1" t="s">
        <v>32</v>
      </c>
      <c r="RL7" s="1" t="s">
        <v>32</v>
      </c>
      <c r="RM7" s="1" t="s">
        <v>32</v>
      </c>
      <c r="RN7" s="1" t="s">
        <v>32</v>
      </c>
      <c r="RO7" s="1" t="s">
        <v>20</v>
      </c>
      <c r="RP7" s="1" t="s">
        <v>18</v>
      </c>
      <c r="RQ7" s="1" t="s">
        <v>14</v>
      </c>
      <c r="RR7" s="1" t="s">
        <v>30</v>
      </c>
      <c r="RS7" s="1" t="s">
        <v>20</v>
      </c>
      <c r="RT7" s="1" t="s">
        <v>14</v>
      </c>
      <c r="RU7" s="1" t="s">
        <v>20</v>
      </c>
      <c r="RV7" s="1" t="s">
        <v>20</v>
      </c>
      <c r="RW7" s="1" t="s">
        <v>30</v>
      </c>
      <c r="RX7" s="1" t="s">
        <v>18</v>
      </c>
      <c r="RY7" s="1" t="s">
        <v>32</v>
      </c>
      <c r="RZ7" s="1" t="s">
        <v>18</v>
      </c>
      <c r="SA7" s="1" t="s">
        <v>30</v>
      </c>
      <c r="SB7" s="1" t="s">
        <v>30</v>
      </c>
      <c r="SC7" s="1" t="s">
        <v>30</v>
      </c>
      <c r="SD7" s="1" t="s">
        <v>14</v>
      </c>
      <c r="SE7" s="1" t="s">
        <v>18</v>
      </c>
      <c r="SF7" s="1" t="s">
        <v>18</v>
      </c>
      <c r="SG7" s="1" t="s">
        <v>20</v>
      </c>
    </row>
    <row r="8" spans="1:501" x14ac:dyDescent="0.3">
      <c r="A8" s="3" t="s">
        <v>7</v>
      </c>
      <c r="B8" s="1">
        <v>7</v>
      </c>
      <c r="C8" s="1">
        <v>9</v>
      </c>
      <c r="D8" s="1">
        <v>6</v>
      </c>
      <c r="E8" s="1">
        <v>1</v>
      </c>
      <c r="F8" s="1">
        <v>7</v>
      </c>
      <c r="G8" s="1">
        <v>3</v>
      </c>
      <c r="H8" s="1">
        <v>5</v>
      </c>
      <c r="I8" s="1">
        <v>4</v>
      </c>
      <c r="J8" s="1">
        <v>5</v>
      </c>
      <c r="K8" s="1">
        <v>5</v>
      </c>
      <c r="L8" s="1">
        <v>6</v>
      </c>
      <c r="M8" s="1">
        <v>6</v>
      </c>
      <c r="N8" s="1">
        <v>8</v>
      </c>
      <c r="O8" s="1">
        <v>8</v>
      </c>
      <c r="P8" s="1">
        <v>9</v>
      </c>
      <c r="Q8" s="1">
        <v>8</v>
      </c>
      <c r="R8" s="1">
        <v>2</v>
      </c>
      <c r="S8" s="1">
        <v>1</v>
      </c>
      <c r="T8" s="1">
        <v>2</v>
      </c>
      <c r="U8" s="1">
        <v>2</v>
      </c>
      <c r="V8" s="1">
        <v>3</v>
      </c>
      <c r="W8" s="1">
        <v>7</v>
      </c>
      <c r="X8" s="1">
        <v>2</v>
      </c>
      <c r="Y8" s="1">
        <v>1</v>
      </c>
      <c r="Z8" s="1">
        <v>6</v>
      </c>
      <c r="AA8" s="1">
        <v>9</v>
      </c>
      <c r="AB8" s="1">
        <v>3</v>
      </c>
      <c r="AC8" s="1">
        <v>6</v>
      </c>
      <c r="AD8" s="1">
        <v>3</v>
      </c>
      <c r="AE8" s="1">
        <v>1</v>
      </c>
      <c r="AF8" s="1">
        <v>5</v>
      </c>
      <c r="AG8" s="1">
        <v>4</v>
      </c>
      <c r="AH8" s="1">
        <v>7</v>
      </c>
      <c r="AI8" s="1">
        <v>6</v>
      </c>
      <c r="AJ8" s="1">
        <v>7</v>
      </c>
      <c r="AK8" s="1">
        <v>5</v>
      </c>
      <c r="AL8" s="1">
        <v>4</v>
      </c>
      <c r="AM8" s="1">
        <v>7</v>
      </c>
      <c r="AN8" s="1">
        <v>7</v>
      </c>
      <c r="AO8" s="1">
        <v>6</v>
      </c>
      <c r="AP8" s="1">
        <v>8</v>
      </c>
      <c r="AQ8" s="1">
        <v>4</v>
      </c>
      <c r="AR8" s="1">
        <v>5</v>
      </c>
      <c r="AS8" s="1">
        <v>4</v>
      </c>
      <c r="AT8" s="1">
        <v>1</v>
      </c>
      <c r="AU8" s="1">
        <v>8</v>
      </c>
      <c r="AV8" s="1">
        <v>1</v>
      </c>
      <c r="AW8" s="1">
        <v>5</v>
      </c>
      <c r="AX8" s="1">
        <v>6</v>
      </c>
      <c r="AY8" s="1">
        <v>6</v>
      </c>
      <c r="AZ8" s="1">
        <v>5</v>
      </c>
      <c r="BA8" s="1">
        <v>3</v>
      </c>
      <c r="BB8" s="1">
        <v>5</v>
      </c>
      <c r="BC8" s="1">
        <v>8</v>
      </c>
      <c r="BD8" s="1">
        <v>2</v>
      </c>
      <c r="BE8" s="1">
        <v>6</v>
      </c>
      <c r="BF8" s="1">
        <v>9</v>
      </c>
      <c r="BG8" s="1">
        <v>8</v>
      </c>
      <c r="BH8" s="1">
        <v>8</v>
      </c>
      <c r="BI8" s="1">
        <v>8</v>
      </c>
      <c r="BJ8" s="1">
        <v>7</v>
      </c>
      <c r="BK8" s="1">
        <v>8</v>
      </c>
      <c r="BL8" s="1">
        <v>6</v>
      </c>
      <c r="BM8" s="1">
        <v>2</v>
      </c>
      <c r="BN8" s="1">
        <v>2</v>
      </c>
      <c r="BO8" s="1">
        <v>8</v>
      </c>
      <c r="BP8" s="1">
        <v>1</v>
      </c>
      <c r="BQ8" s="1">
        <v>6</v>
      </c>
      <c r="BR8" s="1">
        <v>6</v>
      </c>
      <c r="BS8" s="1">
        <v>4</v>
      </c>
      <c r="BT8" s="1">
        <v>3</v>
      </c>
      <c r="BU8" s="1">
        <v>3</v>
      </c>
      <c r="BV8" s="1">
        <v>1</v>
      </c>
      <c r="BW8" s="1">
        <v>3</v>
      </c>
      <c r="BX8" s="1">
        <v>4</v>
      </c>
      <c r="BY8" s="1">
        <v>5</v>
      </c>
      <c r="BZ8" s="1">
        <v>3</v>
      </c>
      <c r="CA8" s="1">
        <v>6</v>
      </c>
      <c r="CB8" s="1">
        <v>5</v>
      </c>
      <c r="CC8" s="1">
        <v>3</v>
      </c>
      <c r="CD8" s="1">
        <v>6</v>
      </c>
      <c r="CE8" s="1">
        <v>6</v>
      </c>
      <c r="CF8" s="1">
        <v>8</v>
      </c>
      <c r="CG8" s="1">
        <v>2</v>
      </c>
      <c r="CH8" s="1">
        <v>1</v>
      </c>
      <c r="CI8" s="1">
        <v>4</v>
      </c>
      <c r="CJ8" s="1">
        <v>7</v>
      </c>
      <c r="CK8" s="1">
        <v>3</v>
      </c>
      <c r="CL8" s="1">
        <v>3</v>
      </c>
      <c r="CM8" s="1">
        <v>5</v>
      </c>
      <c r="CN8" s="1">
        <v>5</v>
      </c>
      <c r="CO8" s="1">
        <v>3</v>
      </c>
      <c r="CP8" s="1">
        <v>9</v>
      </c>
      <c r="CQ8" s="1">
        <v>4</v>
      </c>
      <c r="CR8" s="1">
        <v>3</v>
      </c>
      <c r="CS8" s="1">
        <v>2</v>
      </c>
      <c r="CT8" s="1">
        <v>9</v>
      </c>
      <c r="CU8" s="1">
        <v>4</v>
      </c>
      <c r="CV8" s="1">
        <v>3</v>
      </c>
      <c r="CW8" s="1">
        <v>7</v>
      </c>
      <c r="CX8" s="1">
        <v>8</v>
      </c>
      <c r="CY8" s="1">
        <v>2</v>
      </c>
      <c r="CZ8" s="1">
        <v>7</v>
      </c>
      <c r="DA8" s="1">
        <v>5</v>
      </c>
      <c r="DB8" s="1">
        <v>5</v>
      </c>
      <c r="DC8" s="1">
        <v>3</v>
      </c>
      <c r="DD8" s="1">
        <v>5</v>
      </c>
      <c r="DE8" s="1">
        <v>2</v>
      </c>
      <c r="DF8" s="1">
        <v>4</v>
      </c>
      <c r="DG8" s="1">
        <v>6</v>
      </c>
      <c r="DH8" s="1">
        <v>1</v>
      </c>
      <c r="DI8" s="1">
        <v>4</v>
      </c>
      <c r="DJ8" s="1">
        <v>6</v>
      </c>
      <c r="DK8" s="1">
        <v>9</v>
      </c>
      <c r="DL8" s="1">
        <v>2</v>
      </c>
      <c r="DM8" s="1">
        <v>7</v>
      </c>
      <c r="DN8" s="1">
        <v>6</v>
      </c>
      <c r="DO8" s="1">
        <v>2</v>
      </c>
      <c r="DP8" s="1">
        <v>8</v>
      </c>
      <c r="DQ8" s="1">
        <v>7</v>
      </c>
      <c r="DR8" s="1">
        <v>5</v>
      </c>
      <c r="DS8" s="1">
        <v>5</v>
      </c>
      <c r="DT8" s="1">
        <v>7</v>
      </c>
      <c r="DU8" s="1">
        <v>9</v>
      </c>
      <c r="DV8" s="1">
        <v>9</v>
      </c>
      <c r="DW8" s="1">
        <v>9</v>
      </c>
      <c r="DX8" s="1">
        <v>6</v>
      </c>
      <c r="DY8" s="1">
        <v>6</v>
      </c>
      <c r="DZ8" s="1">
        <v>3</v>
      </c>
      <c r="EA8" s="1">
        <v>1</v>
      </c>
      <c r="EB8" s="1">
        <v>7</v>
      </c>
      <c r="EC8" s="1">
        <v>4</v>
      </c>
      <c r="ED8" s="1">
        <v>1</v>
      </c>
      <c r="EE8" s="1">
        <v>8</v>
      </c>
      <c r="EF8" s="1">
        <v>6</v>
      </c>
      <c r="EG8" s="1">
        <v>6</v>
      </c>
      <c r="EH8" s="1">
        <v>2</v>
      </c>
      <c r="EI8" s="1">
        <v>1</v>
      </c>
      <c r="EJ8" s="1">
        <v>2</v>
      </c>
      <c r="EK8" s="1">
        <v>4</v>
      </c>
      <c r="EL8" s="1">
        <v>2</v>
      </c>
      <c r="EM8" s="1">
        <v>1</v>
      </c>
      <c r="EN8" s="1">
        <v>7</v>
      </c>
      <c r="EO8" s="1">
        <v>8</v>
      </c>
      <c r="EP8" s="1">
        <v>6</v>
      </c>
      <c r="EQ8" s="1">
        <v>4</v>
      </c>
      <c r="ER8" s="1">
        <v>6</v>
      </c>
      <c r="ES8" s="1">
        <v>3</v>
      </c>
      <c r="ET8" s="1">
        <v>8</v>
      </c>
      <c r="EU8" s="1">
        <v>2</v>
      </c>
      <c r="EV8" s="1">
        <v>5</v>
      </c>
      <c r="EW8" s="1">
        <v>1</v>
      </c>
      <c r="EX8" s="1">
        <v>6</v>
      </c>
      <c r="EY8" s="1">
        <v>2</v>
      </c>
      <c r="EZ8" s="1">
        <v>4</v>
      </c>
      <c r="FA8" s="1">
        <v>6</v>
      </c>
      <c r="FB8" s="1">
        <v>8</v>
      </c>
      <c r="FC8" s="1">
        <v>8</v>
      </c>
      <c r="FD8" s="1">
        <v>6</v>
      </c>
      <c r="FE8" s="1">
        <v>4</v>
      </c>
      <c r="FF8" s="1">
        <v>8</v>
      </c>
      <c r="FG8" s="1">
        <v>8</v>
      </c>
      <c r="FH8" s="1">
        <v>1</v>
      </c>
      <c r="FI8" s="1">
        <v>4</v>
      </c>
      <c r="FJ8" s="1">
        <v>4</v>
      </c>
      <c r="FK8" s="1">
        <v>7</v>
      </c>
      <c r="FL8" s="1">
        <v>7</v>
      </c>
      <c r="FM8" s="1">
        <v>8</v>
      </c>
      <c r="FN8" s="1">
        <v>5</v>
      </c>
      <c r="FO8" s="1">
        <v>7</v>
      </c>
      <c r="FP8" s="1">
        <v>8</v>
      </c>
      <c r="FQ8" s="1">
        <v>9</v>
      </c>
      <c r="FR8" s="1">
        <v>3</v>
      </c>
      <c r="FS8" s="1">
        <v>3</v>
      </c>
      <c r="FT8" s="1">
        <v>4</v>
      </c>
      <c r="FU8" s="1">
        <v>5</v>
      </c>
      <c r="FV8" s="1">
        <v>1</v>
      </c>
      <c r="FW8" s="1">
        <v>7</v>
      </c>
      <c r="FX8" s="1">
        <v>9</v>
      </c>
      <c r="FY8" s="1">
        <v>8</v>
      </c>
      <c r="FZ8" s="1">
        <v>5</v>
      </c>
      <c r="GA8" s="1">
        <v>4</v>
      </c>
      <c r="GB8" s="1">
        <v>7</v>
      </c>
      <c r="GC8" s="1">
        <v>5</v>
      </c>
      <c r="GD8" s="1">
        <v>7</v>
      </c>
      <c r="GE8" s="1">
        <v>1</v>
      </c>
      <c r="GF8" s="1">
        <v>1</v>
      </c>
      <c r="GG8" s="1">
        <v>3</v>
      </c>
      <c r="GH8" s="1">
        <v>2</v>
      </c>
      <c r="GI8" s="1">
        <v>2</v>
      </c>
      <c r="GJ8" s="1">
        <v>7</v>
      </c>
      <c r="GK8" s="1">
        <v>2</v>
      </c>
      <c r="GL8" s="1">
        <v>4</v>
      </c>
      <c r="GM8" s="1">
        <v>2</v>
      </c>
      <c r="GN8" s="1">
        <v>6</v>
      </c>
      <c r="GO8" s="1">
        <v>8</v>
      </c>
      <c r="GP8" s="1">
        <v>4</v>
      </c>
      <c r="GQ8" s="1">
        <v>5</v>
      </c>
      <c r="GR8" s="1">
        <v>4</v>
      </c>
      <c r="GS8" s="1">
        <v>3</v>
      </c>
      <c r="GT8" s="1">
        <v>5</v>
      </c>
      <c r="GU8" s="1">
        <v>9</v>
      </c>
      <c r="GV8" s="1">
        <v>8</v>
      </c>
      <c r="GW8" s="1">
        <v>8</v>
      </c>
      <c r="GX8" s="1">
        <v>8</v>
      </c>
      <c r="GY8" s="1">
        <v>8</v>
      </c>
      <c r="GZ8" s="1">
        <v>7</v>
      </c>
      <c r="HA8" s="1">
        <v>8</v>
      </c>
      <c r="HB8" s="1">
        <v>8</v>
      </c>
      <c r="HC8" s="1">
        <v>8</v>
      </c>
      <c r="HD8" s="1">
        <v>7</v>
      </c>
      <c r="HE8" s="1">
        <v>1</v>
      </c>
      <c r="HF8" s="1">
        <v>4</v>
      </c>
      <c r="HG8" s="1">
        <v>4</v>
      </c>
      <c r="HH8" s="1">
        <v>5</v>
      </c>
      <c r="HI8" s="1">
        <v>6</v>
      </c>
      <c r="HJ8" s="1">
        <v>4</v>
      </c>
      <c r="HK8" s="1">
        <v>2</v>
      </c>
      <c r="HL8" s="1">
        <v>6</v>
      </c>
      <c r="HM8" s="1">
        <v>8</v>
      </c>
      <c r="HN8" s="1">
        <v>8</v>
      </c>
      <c r="HO8" s="1">
        <v>7</v>
      </c>
      <c r="HP8" s="1">
        <v>6</v>
      </c>
      <c r="HQ8" s="1">
        <v>2</v>
      </c>
      <c r="HR8" s="1">
        <v>7</v>
      </c>
      <c r="HS8" s="1">
        <v>5</v>
      </c>
      <c r="HT8" s="1">
        <v>6</v>
      </c>
      <c r="HU8" s="1">
        <v>8</v>
      </c>
      <c r="HV8" s="1">
        <v>8</v>
      </c>
      <c r="HW8" s="1">
        <v>3</v>
      </c>
      <c r="HX8" s="1">
        <v>7</v>
      </c>
      <c r="HY8" s="1">
        <v>1</v>
      </c>
      <c r="HZ8" s="1">
        <v>1</v>
      </c>
      <c r="IA8" s="1">
        <v>7</v>
      </c>
      <c r="IB8" s="1">
        <v>9</v>
      </c>
      <c r="IC8" s="1">
        <v>7</v>
      </c>
      <c r="ID8" s="1">
        <v>5</v>
      </c>
      <c r="IE8" s="1">
        <v>8</v>
      </c>
      <c r="IF8" s="1">
        <v>2</v>
      </c>
      <c r="IG8" s="1">
        <v>9</v>
      </c>
      <c r="IH8" s="1">
        <v>6</v>
      </c>
      <c r="II8" s="1">
        <v>9</v>
      </c>
      <c r="IJ8" s="1">
        <v>2</v>
      </c>
      <c r="IK8" s="1">
        <v>3</v>
      </c>
      <c r="IL8" s="1">
        <v>8</v>
      </c>
      <c r="IM8" s="1">
        <v>1</v>
      </c>
      <c r="IN8" s="1">
        <v>7</v>
      </c>
      <c r="IO8" s="1">
        <v>7</v>
      </c>
      <c r="IP8" s="1">
        <v>1</v>
      </c>
      <c r="IQ8" s="1">
        <v>9</v>
      </c>
      <c r="IR8" s="1">
        <v>8</v>
      </c>
      <c r="IS8" s="1">
        <v>4</v>
      </c>
      <c r="IT8" s="1">
        <v>5</v>
      </c>
      <c r="IU8" s="1">
        <v>2</v>
      </c>
      <c r="IV8" s="1">
        <v>9</v>
      </c>
      <c r="IW8" s="1">
        <v>6</v>
      </c>
      <c r="IX8" s="1">
        <v>3</v>
      </c>
      <c r="IY8" s="1">
        <v>7</v>
      </c>
      <c r="IZ8" s="1">
        <v>9</v>
      </c>
      <c r="JA8" s="1">
        <v>3</v>
      </c>
      <c r="JB8" s="1">
        <v>2</v>
      </c>
      <c r="JC8" s="1">
        <v>7</v>
      </c>
      <c r="JD8" s="1">
        <v>7</v>
      </c>
      <c r="JE8" s="1">
        <v>4</v>
      </c>
      <c r="JF8" s="1">
        <v>9</v>
      </c>
      <c r="JG8" s="1">
        <v>8</v>
      </c>
      <c r="JH8" s="1">
        <v>1</v>
      </c>
      <c r="JI8" s="1">
        <v>1</v>
      </c>
      <c r="JJ8" s="1">
        <v>5</v>
      </c>
      <c r="JK8" s="1">
        <v>6</v>
      </c>
      <c r="JL8" s="1">
        <v>3</v>
      </c>
      <c r="JM8" s="1">
        <v>9</v>
      </c>
      <c r="JN8" s="1">
        <v>6</v>
      </c>
      <c r="JO8" s="1">
        <v>4</v>
      </c>
      <c r="JP8" s="1">
        <v>7</v>
      </c>
      <c r="JQ8" s="1">
        <v>8</v>
      </c>
      <c r="JR8" s="1">
        <v>9</v>
      </c>
      <c r="JS8" s="1">
        <v>6</v>
      </c>
      <c r="JT8" s="1">
        <v>6</v>
      </c>
      <c r="JU8" s="1">
        <v>8</v>
      </c>
      <c r="JV8" s="1">
        <v>5</v>
      </c>
      <c r="JW8" s="1">
        <v>3</v>
      </c>
      <c r="JX8" s="1">
        <v>3</v>
      </c>
      <c r="JY8" s="1">
        <v>6</v>
      </c>
      <c r="JZ8" s="1">
        <v>2</v>
      </c>
      <c r="KA8" s="1">
        <v>6</v>
      </c>
      <c r="KB8" s="1">
        <v>6</v>
      </c>
      <c r="KC8" s="1">
        <v>8</v>
      </c>
      <c r="KD8" s="1">
        <v>7</v>
      </c>
      <c r="KE8" s="1">
        <v>8</v>
      </c>
      <c r="KF8" s="1">
        <v>9</v>
      </c>
      <c r="KG8" s="1">
        <v>6</v>
      </c>
      <c r="KH8" s="1">
        <v>3</v>
      </c>
      <c r="KI8" s="1">
        <v>3</v>
      </c>
      <c r="KJ8" s="1">
        <v>1</v>
      </c>
      <c r="KK8" s="1">
        <v>5</v>
      </c>
      <c r="KL8" s="1">
        <v>4</v>
      </c>
      <c r="KM8" s="1">
        <v>9</v>
      </c>
      <c r="KN8" s="1">
        <v>9</v>
      </c>
      <c r="KO8" s="1">
        <v>5</v>
      </c>
      <c r="KP8" s="1">
        <v>4</v>
      </c>
      <c r="KQ8" s="1">
        <v>7</v>
      </c>
      <c r="KR8" s="1">
        <v>6</v>
      </c>
      <c r="KS8" s="1">
        <v>4</v>
      </c>
      <c r="KT8" s="1">
        <v>2</v>
      </c>
      <c r="KU8" s="1">
        <v>1</v>
      </c>
      <c r="KV8" s="1">
        <v>4</v>
      </c>
      <c r="KW8" s="1">
        <v>4</v>
      </c>
      <c r="KX8" s="1">
        <v>1</v>
      </c>
      <c r="KY8" s="1">
        <v>6</v>
      </c>
      <c r="KZ8" s="1">
        <v>4</v>
      </c>
      <c r="LA8" s="1">
        <v>1</v>
      </c>
      <c r="LB8" s="1">
        <v>1</v>
      </c>
      <c r="LC8" s="1">
        <v>1</v>
      </c>
      <c r="LD8" s="1">
        <v>8</v>
      </c>
      <c r="LE8" s="1">
        <v>8</v>
      </c>
      <c r="LF8" s="1">
        <v>2</v>
      </c>
      <c r="LG8" s="1">
        <v>7</v>
      </c>
      <c r="LH8" s="1">
        <v>8</v>
      </c>
      <c r="LI8" s="1">
        <v>8</v>
      </c>
      <c r="LJ8" s="1">
        <v>7</v>
      </c>
      <c r="LK8" s="1">
        <v>5</v>
      </c>
      <c r="LL8" s="1">
        <v>1</v>
      </c>
      <c r="LM8" s="1">
        <v>9</v>
      </c>
      <c r="LN8" s="1">
        <v>7</v>
      </c>
      <c r="LO8" s="1">
        <v>2</v>
      </c>
      <c r="LP8" s="1">
        <v>6</v>
      </c>
      <c r="LQ8" s="1">
        <v>2</v>
      </c>
      <c r="LR8" s="1">
        <v>1</v>
      </c>
      <c r="LS8" s="1">
        <v>7</v>
      </c>
      <c r="LT8" s="1">
        <v>2</v>
      </c>
      <c r="LU8" s="1">
        <v>2</v>
      </c>
      <c r="LV8" s="1">
        <v>5</v>
      </c>
      <c r="LW8" s="1">
        <v>5</v>
      </c>
      <c r="LX8" s="1">
        <v>7</v>
      </c>
      <c r="LY8" s="1">
        <v>1</v>
      </c>
      <c r="LZ8" s="1">
        <v>8</v>
      </c>
      <c r="MA8" s="1">
        <v>3</v>
      </c>
      <c r="MB8" s="1">
        <v>4</v>
      </c>
      <c r="MC8" s="1">
        <v>9</v>
      </c>
      <c r="MD8" s="1">
        <v>4</v>
      </c>
      <c r="ME8" s="1">
        <v>5</v>
      </c>
      <c r="MF8" s="1">
        <v>7</v>
      </c>
      <c r="MG8" s="1">
        <v>4</v>
      </c>
      <c r="MH8" s="1">
        <v>1</v>
      </c>
      <c r="MI8" s="1">
        <v>9</v>
      </c>
      <c r="MJ8" s="1">
        <v>4</v>
      </c>
      <c r="MK8" s="1">
        <v>9</v>
      </c>
      <c r="ML8" s="1">
        <v>6</v>
      </c>
      <c r="MM8" s="1">
        <v>1</v>
      </c>
      <c r="MN8" s="1">
        <v>3</v>
      </c>
      <c r="MO8" s="1">
        <v>2</v>
      </c>
      <c r="MP8" s="1">
        <v>9</v>
      </c>
      <c r="MQ8" s="1">
        <v>1</v>
      </c>
      <c r="MR8" s="1">
        <v>9</v>
      </c>
      <c r="MS8" s="1">
        <v>9</v>
      </c>
      <c r="MT8" s="1">
        <v>8</v>
      </c>
      <c r="MU8" s="1">
        <v>8</v>
      </c>
      <c r="MV8" s="1">
        <v>1</v>
      </c>
      <c r="MW8" s="1">
        <v>8</v>
      </c>
      <c r="MX8" s="1">
        <v>3</v>
      </c>
      <c r="MY8" s="1">
        <v>7</v>
      </c>
      <c r="MZ8" s="1">
        <v>1</v>
      </c>
      <c r="NA8" s="1">
        <v>1</v>
      </c>
      <c r="NB8" s="1">
        <v>5</v>
      </c>
      <c r="NC8" s="1">
        <v>5</v>
      </c>
      <c r="ND8" s="1">
        <v>8</v>
      </c>
      <c r="NE8" s="1">
        <v>7</v>
      </c>
      <c r="NF8" s="1">
        <v>8</v>
      </c>
      <c r="NG8" s="1">
        <v>6</v>
      </c>
      <c r="NH8" s="1">
        <v>6</v>
      </c>
      <c r="NI8" s="1">
        <v>2</v>
      </c>
      <c r="NJ8" s="1">
        <v>6</v>
      </c>
      <c r="NK8" s="1">
        <v>5</v>
      </c>
      <c r="NL8" s="1">
        <v>3</v>
      </c>
      <c r="NM8" s="1">
        <v>6</v>
      </c>
      <c r="NN8" s="1">
        <v>8</v>
      </c>
      <c r="NO8" s="1">
        <v>9</v>
      </c>
      <c r="NP8" s="1">
        <v>1</v>
      </c>
      <c r="NQ8" s="1">
        <v>3</v>
      </c>
      <c r="NR8" s="1">
        <v>3</v>
      </c>
      <c r="NS8" s="1">
        <v>8</v>
      </c>
      <c r="NT8" s="1">
        <v>1</v>
      </c>
      <c r="NU8" s="1">
        <v>5</v>
      </c>
      <c r="NV8" s="1">
        <v>3</v>
      </c>
      <c r="NW8" s="1">
        <v>2</v>
      </c>
      <c r="NX8" s="1">
        <v>8</v>
      </c>
      <c r="NY8" s="1">
        <v>3</v>
      </c>
      <c r="NZ8" s="1">
        <v>7</v>
      </c>
      <c r="OA8" s="1">
        <v>1</v>
      </c>
      <c r="OB8" s="1">
        <v>6</v>
      </c>
      <c r="OC8" s="1">
        <v>3</v>
      </c>
      <c r="OD8" s="1">
        <v>8</v>
      </c>
      <c r="OE8" s="1">
        <v>6</v>
      </c>
      <c r="OF8" s="1">
        <v>2</v>
      </c>
      <c r="OG8" s="1">
        <v>6</v>
      </c>
      <c r="OH8" s="1">
        <v>7</v>
      </c>
      <c r="OI8" s="1">
        <v>5</v>
      </c>
      <c r="OJ8" s="1">
        <v>3</v>
      </c>
      <c r="OK8" s="1">
        <v>4</v>
      </c>
      <c r="OL8" s="1">
        <v>4</v>
      </c>
      <c r="OM8" s="1">
        <v>6</v>
      </c>
      <c r="ON8" s="1">
        <v>1</v>
      </c>
      <c r="OO8" s="1">
        <v>4</v>
      </c>
      <c r="OP8" s="1">
        <v>4</v>
      </c>
      <c r="OQ8" s="1">
        <v>1</v>
      </c>
      <c r="OR8" s="1">
        <v>9</v>
      </c>
      <c r="OS8" s="1">
        <v>4</v>
      </c>
      <c r="OT8" s="1">
        <v>7</v>
      </c>
      <c r="OU8" s="1">
        <v>3</v>
      </c>
      <c r="OV8" s="1">
        <v>3</v>
      </c>
      <c r="OW8" s="1">
        <v>8</v>
      </c>
      <c r="OX8" s="1">
        <v>8</v>
      </c>
      <c r="OY8" s="1">
        <v>1</v>
      </c>
      <c r="OZ8" s="1">
        <v>2</v>
      </c>
      <c r="PA8" s="1">
        <v>8</v>
      </c>
      <c r="PB8" s="1">
        <v>1</v>
      </c>
      <c r="PC8" s="1">
        <v>8</v>
      </c>
      <c r="PD8" s="1">
        <v>8</v>
      </c>
      <c r="PE8" s="1">
        <v>2</v>
      </c>
      <c r="PF8" s="1">
        <v>4</v>
      </c>
      <c r="PG8" s="1">
        <v>6</v>
      </c>
      <c r="PH8" s="1">
        <v>9</v>
      </c>
      <c r="PI8" s="1">
        <v>8</v>
      </c>
      <c r="PJ8" s="1">
        <v>8</v>
      </c>
      <c r="PK8" s="1">
        <v>7</v>
      </c>
      <c r="PL8" s="1">
        <v>9</v>
      </c>
      <c r="PM8" s="1">
        <v>2</v>
      </c>
      <c r="PN8" s="1">
        <v>3</v>
      </c>
      <c r="PO8" s="1">
        <v>8</v>
      </c>
      <c r="PP8" s="1">
        <v>6</v>
      </c>
      <c r="PQ8" s="1">
        <v>9</v>
      </c>
      <c r="PR8" s="1">
        <v>4</v>
      </c>
      <c r="PS8" s="1">
        <v>8</v>
      </c>
      <c r="PT8" s="1">
        <v>3</v>
      </c>
      <c r="PU8" s="1">
        <v>3</v>
      </c>
      <c r="PV8" s="1">
        <v>8</v>
      </c>
      <c r="PW8" s="1">
        <v>5</v>
      </c>
      <c r="PX8" s="1">
        <v>3</v>
      </c>
      <c r="PY8" s="1">
        <v>1</v>
      </c>
      <c r="PZ8" s="1">
        <v>3</v>
      </c>
      <c r="QA8" s="1">
        <v>9</v>
      </c>
      <c r="QB8" s="1">
        <v>5</v>
      </c>
      <c r="QC8" s="1">
        <v>2</v>
      </c>
      <c r="QD8" s="1">
        <v>7</v>
      </c>
      <c r="QE8" s="1">
        <v>2</v>
      </c>
      <c r="QF8" s="1">
        <v>4</v>
      </c>
      <c r="QG8" s="1">
        <v>7</v>
      </c>
      <c r="QH8" s="1">
        <v>4</v>
      </c>
      <c r="QI8" s="1">
        <v>7</v>
      </c>
      <c r="QJ8" s="1">
        <v>7</v>
      </c>
      <c r="QK8" s="1">
        <v>1</v>
      </c>
      <c r="QL8" s="1">
        <v>6</v>
      </c>
      <c r="QM8" s="1">
        <v>9</v>
      </c>
      <c r="QN8" s="1">
        <v>2</v>
      </c>
      <c r="QO8" s="1">
        <v>3</v>
      </c>
      <c r="QP8" s="1">
        <v>5</v>
      </c>
      <c r="QQ8" s="1">
        <v>9</v>
      </c>
      <c r="QR8" s="1">
        <v>4</v>
      </c>
      <c r="QS8" s="1">
        <v>1</v>
      </c>
      <c r="QT8" s="1">
        <v>4</v>
      </c>
      <c r="QU8" s="1">
        <v>6</v>
      </c>
      <c r="QV8" s="1">
        <v>5</v>
      </c>
      <c r="QW8" s="1">
        <v>1</v>
      </c>
      <c r="QX8" s="1">
        <v>4</v>
      </c>
      <c r="QY8" s="1">
        <v>6</v>
      </c>
      <c r="QZ8" s="1">
        <v>4</v>
      </c>
      <c r="RA8" s="1">
        <v>9</v>
      </c>
      <c r="RB8" s="1">
        <v>5</v>
      </c>
      <c r="RC8" s="1">
        <v>8</v>
      </c>
      <c r="RD8" s="1">
        <v>9</v>
      </c>
      <c r="RE8" s="1">
        <v>5</v>
      </c>
      <c r="RF8" s="1">
        <v>6</v>
      </c>
      <c r="RG8" s="1">
        <v>1</v>
      </c>
      <c r="RH8" s="1">
        <v>7</v>
      </c>
      <c r="RI8" s="1">
        <v>4</v>
      </c>
      <c r="RJ8" s="1">
        <v>2</v>
      </c>
      <c r="RK8" s="1">
        <v>5</v>
      </c>
      <c r="RL8" s="1">
        <v>3</v>
      </c>
      <c r="RM8" s="1">
        <v>6</v>
      </c>
      <c r="RN8" s="1">
        <v>8</v>
      </c>
      <c r="RO8" s="1">
        <v>7</v>
      </c>
      <c r="RP8" s="1">
        <v>3</v>
      </c>
      <c r="RQ8" s="1">
        <v>8</v>
      </c>
      <c r="RR8" s="1">
        <v>2</v>
      </c>
      <c r="RS8" s="1">
        <v>9</v>
      </c>
      <c r="RT8" s="1">
        <v>4</v>
      </c>
      <c r="RU8" s="1">
        <v>1</v>
      </c>
      <c r="RV8" s="1">
        <v>8</v>
      </c>
      <c r="RW8" s="1">
        <v>7</v>
      </c>
      <c r="RX8" s="1">
        <v>5</v>
      </c>
      <c r="RY8" s="1">
        <v>5</v>
      </c>
      <c r="RZ8" s="1">
        <v>7</v>
      </c>
      <c r="SA8" s="1">
        <v>5</v>
      </c>
      <c r="SB8" s="1">
        <v>8</v>
      </c>
      <c r="SC8" s="1">
        <v>6</v>
      </c>
      <c r="SD8" s="1">
        <v>5</v>
      </c>
      <c r="SE8" s="1">
        <v>9</v>
      </c>
      <c r="SF8" s="1">
        <v>2</v>
      </c>
      <c r="SG8" s="1">
        <v>1</v>
      </c>
    </row>
    <row r="9" spans="1:501" x14ac:dyDescent="0.3">
      <c r="A9" s="3" t="s">
        <v>8</v>
      </c>
      <c r="B9" s="1">
        <v>2843.87</v>
      </c>
      <c r="C9" s="1">
        <v>2525.23</v>
      </c>
      <c r="D9" s="1">
        <v>3474.34</v>
      </c>
      <c r="E9" s="1">
        <v>1008.79</v>
      </c>
      <c r="F9" s="1">
        <v>3511.47</v>
      </c>
      <c r="G9" s="1">
        <v>3189.55</v>
      </c>
      <c r="H9" s="1">
        <v>3030.42</v>
      </c>
      <c r="I9" s="1">
        <v>2310.83</v>
      </c>
      <c r="J9" s="1">
        <v>1098.04</v>
      </c>
      <c r="K9" s="1">
        <v>1780.66</v>
      </c>
      <c r="L9" s="1">
        <v>3205.25</v>
      </c>
      <c r="M9" s="1">
        <v>272.35000000000002</v>
      </c>
      <c r="N9" s="1">
        <v>3160.9</v>
      </c>
      <c r="O9" s="1">
        <v>1074.27</v>
      </c>
      <c r="P9" s="1">
        <v>705.59</v>
      </c>
      <c r="Q9" s="1">
        <v>595.45000000000005</v>
      </c>
      <c r="R9" s="1">
        <v>254.91</v>
      </c>
      <c r="S9" s="1">
        <v>2165.81</v>
      </c>
      <c r="T9" s="1">
        <v>990.3</v>
      </c>
      <c r="U9" s="1">
        <v>3959.31</v>
      </c>
      <c r="V9" s="1">
        <v>2361.58</v>
      </c>
      <c r="W9" s="1">
        <v>680.86</v>
      </c>
      <c r="X9" s="1">
        <v>2801.74</v>
      </c>
      <c r="Y9" s="1">
        <v>3606.31</v>
      </c>
      <c r="Z9" s="1">
        <v>3018.94</v>
      </c>
      <c r="AA9" s="1">
        <v>444.29</v>
      </c>
      <c r="AB9" s="1">
        <v>3599.15</v>
      </c>
      <c r="AC9" s="1">
        <v>3206.63</v>
      </c>
      <c r="AD9" s="1">
        <v>759.47</v>
      </c>
      <c r="AE9" s="1">
        <v>349.38</v>
      </c>
      <c r="AF9" s="1">
        <v>2295.65</v>
      </c>
      <c r="AG9" s="1">
        <v>750.74</v>
      </c>
      <c r="AH9" s="1">
        <v>3363.18</v>
      </c>
      <c r="AI9" s="1">
        <v>1529.59</v>
      </c>
      <c r="AJ9" s="1">
        <v>3664.64</v>
      </c>
      <c r="AK9" s="1">
        <v>2327.9</v>
      </c>
      <c r="AL9" s="1">
        <v>853.29</v>
      </c>
      <c r="AM9" s="1">
        <v>687.46</v>
      </c>
      <c r="AN9" s="1">
        <v>2369.42</v>
      </c>
      <c r="AO9" s="1">
        <v>3083.25</v>
      </c>
      <c r="AP9" s="1">
        <v>3158.8</v>
      </c>
      <c r="AQ9" s="1">
        <v>1211.67</v>
      </c>
      <c r="AR9" s="1">
        <v>936.35</v>
      </c>
      <c r="AS9" s="1">
        <v>214.51</v>
      </c>
      <c r="AT9" s="1">
        <v>2764.92</v>
      </c>
      <c r="AU9" s="1">
        <v>444.79</v>
      </c>
      <c r="AV9" s="1">
        <v>1769.93</v>
      </c>
      <c r="AW9" s="1">
        <v>2466.48</v>
      </c>
      <c r="AX9" s="1">
        <v>3757.87</v>
      </c>
      <c r="AY9" s="1">
        <v>1350.44</v>
      </c>
      <c r="AZ9" s="1">
        <v>1111.6199999999999</v>
      </c>
      <c r="BA9" s="1">
        <v>2668.52</v>
      </c>
      <c r="BB9" s="1">
        <v>2534.0700000000002</v>
      </c>
      <c r="BC9" s="1">
        <v>1428.62</v>
      </c>
      <c r="BD9" s="1">
        <v>3723.19</v>
      </c>
      <c r="BE9" s="1">
        <v>3402.72</v>
      </c>
      <c r="BF9" s="1">
        <v>1012.33</v>
      </c>
      <c r="BG9" s="1">
        <v>1070.7</v>
      </c>
      <c r="BH9" s="1">
        <v>2122.36</v>
      </c>
      <c r="BI9" s="1">
        <v>3128.25</v>
      </c>
      <c r="BJ9" s="1">
        <v>319.56</v>
      </c>
      <c r="BK9" s="1">
        <v>2819.34</v>
      </c>
      <c r="BL9" s="1">
        <v>2645.71</v>
      </c>
      <c r="BM9" s="1">
        <v>1041.2</v>
      </c>
      <c r="BN9" s="1">
        <v>2773.21</v>
      </c>
      <c r="BO9" s="1">
        <v>3769.71</v>
      </c>
      <c r="BP9" s="1">
        <v>330.13</v>
      </c>
      <c r="BQ9" s="1">
        <v>1380.66</v>
      </c>
      <c r="BR9" s="1">
        <v>1836.98</v>
      </c>
      <c r="BS9" s="1">
        <v>3612.15</v>
      </c>
      <c r="BT9" s="1">
        <v>3854.71</v>
      </c>
      <c r="BU9" s="1">
        <v>1859.84</v>
      </c>
      <c r="BV9" s="1">
        <v>3037.61</v>
      </c>
      <c r="BW9" s="1">
        <v>2196.89</v>
      </c>
      <c r="BX9" s="1">
        <v>2220.46</v>
      </c>
      <c r="BY9" s="1">
        <v>1220.68</v>
      </c>
      <c r="BZ9" s="1">
        <v>985.28</v>
      </c>
      <c r="CA9" s="1">
        <v>1258.82</v>
      </c>
      <c r="CB9" s="1">
        <v>2291.86</v>
      </c>
      <c r="CC9" s="1">
        <v>262.25</v>
      </c>
      <c r="CD9" s="1">
        <v>3642.91</v>
      </c>
      <c r="CE9" s="1">
        <v>751.69</v>
      </c>
      <c r="CF9" s="1">
        <v>997.34</v>
      </c>
      <c r="CG9" s="1">
        <v>2145.36</v>
      </c>
      <c r="CH9" s="1">
        <v>2883.94</v>
      </c>
      <c r="CI9" s="1">
        <v>518.55999999999995</v>
      </c>
      <c r="CJ9" s="1">
        <v>1373.12</v>
      </c>
      <c r="CK9" s="1">
        <v>3879.4</v>
      </c>
      <c r="CL9" s="1">
        <v>1160.02</v>
      </c>
      <c r="CM9" s="1">
        <v>1355.24</v>
      </c>
      <c r="CN9" s="1">
        <v>3370.52</v>
      </c>
      <c r="CO9" s="1">
        <v>343.33</v>
      </c>
      <c r="CP9" s="1">
        <v>1938.76</v>
      </c>
      <c r="CQ9" s="1">
        <v>1611.52</v>
      </c>
      <c r="CR9" s="1">
        <v>1368.86</v>
      </c>
      <c r="CS9" s="1">
        <v>1249.94</v>
      </c>
      <c r="CT9" s="1">
        <v>501.79</v>
      </c>
      <c r="CU9" s="1">
        <v>1362.08</v>
      </c>
      <c r="CV9" s="1">
        <v>315.75</v>
      </c>
      <c r="CW9" s="1">
        <v>3156.71</v>
      </c>
      <c r="CX9" s="1">
        <v>1683.18</v>
      </c>
      <c r="CY9" s="1">
        <v>1859.03</v>
      </c>
      <c r="CZ9" s="1">
        <v>3590.34</v>
      </c>
      <c r="DA9" s="1">
        <v>2683.51</v>
      </c>
      <c r="DB9" s="1">
        <v>181.03</v>
      </c>
      <c r="DC9" s="1">
        <v>3781.22</v>
      </c>
      <c r="DD9" s="1">
        <v>1063.01</v>
      </c>
      <c r="DE9" s="1">
        <v>564.30999999999995</v>
      </c>
      <c r="DF9" s="1">
        <v>3107.29</v>
      </c>
      <c r="DG9" s="1">
        <v>2076.84</v>
      </c>
      <c r="DH9" s="1">
        <v>1820.02</v>
      </c>
      <c r="DI9" s="1">
        <v>1110.5899999999999</v>
      </c>
      <c r="DJ9" s="1">
        <v>2257.77</v>
      </c>
      <c r="DK9" s="1">
        <v>1206.3800000000001</v>
      </c>
      <c r="DL9" s="1">
        <v>3621.09</v>
      </c>
      <c r="DM9" s="1">
        <v>978.54</v>
      </c>
      <c r="DN9" s="1">
        <v>3554.77</v>
      </c>
      <c r="DO9" s="1">
        <v>2303.71</v>
      </c>
      <c r="DP9" s="1">
        <v>3339.68</v>
      </c>
      <c r="DQ9" s="1">
        <v>2894.46</v>
      </c>
      <c r="DR9" s="1">
        <v>2832.28</v>
      </c>
      <c r="DS9" s="1">
        <v>1398.73</v>
      </c>
      <c r="DT9" s="1">
        <v>1050.5</v>
      </c>
      <c r="DU9" s="1">
        <v>961.91</v>
      </c>
      <c r="DV9" s="1">
        <v>3450.19</v>
      </c>
      <c r="DW9" s="1">
        <v>3308.64</v>
      </c>
      <c r="DX9" s="1">
        <v>1846.21</v>
      </c>
      <c r="DY9" s="1">
        <v>659.76</v>
      </c>
      <c r="DZ9" s="1">
        <v>1621.67</v>
      </c>
      <c r="EA9" s="1">
        <v>2534.4699999999998</v>
      </c>
      <c r="EB9" s="1">
        <v>1899.45</v>
      </c>
      <c r="EC9" s="1">
        <v>3153.73</v>
      </c>
      <c r="ED9" s="1">
        <v>3990.85</v>
      </c>
      <c r="EE9" s="1">
        <v>885.86</v>
      </c>
      <c r="EF9" s="1">
        <v>1919.66</v>
      </c>
      <c r="EG9" s="1">
        <v>1809.29</v>
      </c>
      <c r="EH9" s="1">
        <v>1322.3</v>
      </c>
      <c r="EI9" s="1">
        <v>912.67</v>
      </c>
      <c r="EJ9" s="1">
        <v>402.91</v>
      </c>
      <c r="EK9" s="1">
        <v>3565.41</v>
      </c>
      <c r="EL9" s="1">
        <v>1766.42</v>
      </c>
      <c r="EM9" s="1">
        <v>2063.0500000000002</v>
      </c>
      <c r="EN9" s="1">
        <v>3680.23</v>
      </c>
      <c r="EO9" s="1">
        <v>3138.72</v>
      </c>
      <c r="EP9" s="1">
        <v>652.42999999999995</v>
      </c>
      <c r="EQ9" s="1">
        <v>2326.87</v>
      </c>
      <c r="ER9" s="1">
        <v>1852.67</v>
      </c>
      <c r="ES9" s="1">
        <v>3219.26</v>
      </c>
      <c r="ET9" s="1">
        <v>2938.3</v>
      </c>
      <c r="EU9" s="1">
        <v>2808.06</v>
      </c>
      <c r="EV9" s="1">
        <v>1461.1</v>
      </c>
      <c r="EW9" s="1">
        <v>3249.11</v>
      </c>
      <c r="EX9" s="1">
        <v>351.71</v>
      </c>
      <c r="EY9" s="1">
        <v>764.56</v>
      </c>
      <c r="EZ9" s="1">
        <v>1442.15</v>
      </c>
      <c r="FA9" s="1">
        <v>445.71</v>
      </c>
      <c r="FB9" s="1">
        <v>1054.73</v>
      </c>
      <c r="FC9" s="1">
        <v>3346.08</v>
      </c>
      <c r="FD9" s="1">
        <v>3800.77</v>
      </c>
      <c r="FE9" s="1">
        <v>1322.72</v>
      </c>
      <c r="FF9" s="1">
        <v>1168.3900000000001</v>
      </c>
      <c r="FG9" s="1">
        <v>1227.5899999999999</v>
      </c>
      <c r="FH9" s="1">
        <v>1219.22</v>
      </c>
      <c r="FI9" s="1">
        <v>288.33</v>
      </c>
      <c r="FJ9" s="1">
        <v>3718.63</v>
      </c>
      <c r="FK9" s="1">
        <v>972.74</v>
      </c>
      <c r="FL9" s="1">
        <v>1767.02</v>
      </c>
      <c r="FM9" s="1">
        <v>187.29</v>
      </c>
      <c r="FN9" s="1">
        <v>3453.13</v>
      </c>
      <c r="FO9" s="1">
        <v>2964.96</v>
      </c>
      <c r="FP9" s="1">
        <v>3795.01</v>
      </c>
      <c r="FQ9" s="1">
        <v>3159.22</v>
      </c>
      <c r="FR9" s="1">
        <v>1357.77</v>
      </c>
      <c r="FS9" s="1">
        <v>1104.31</v>
      </c>
      <c r="FT9" s="1">
        <v>2836.21</v>
      </c>
      <c r="FU9" s="1">
        <v>1551.83</v>
      </c>
      <c r="FV9" s="1">
        <v>2329.9299999999998</v>
      </c>
      <c r="FW9" s="1">
        <v>174.09</v>
      </c>
      <c r="FX9" s="1">
        <v>388.26</v>
      </c>
      <c r="FY9" s="1">
        <v>2211.17</v>
      </c>
      <c r="FZ9" s="1">
        <v>2329.38</v>
      </c>
      <c r="GA9" s="1">
        <v>3043.09</v>
      </c>
      <c r="GB9" s="1">
        <v>658.07</v>
      </c>
      <c r="GC9" s="1">
        <v>2125.75</v>
      </c>
      <c r="GD9" s="1">
        <v>898.62</v>
      </c>
      <c r="GE9" s="1">
        <v>508.81</v>
      </c>
      <c r="GF9" s="1">
        <v>1730.41</v>
      </c>
      <c r="GG9" s="1">
        <v>778.85</v>
      </c>
      <c r="GH9" s="1">
        <v>1003.86</v>
      </c>
      <c r="GI9" s="1">
        <v>1372.59</v>
      </c>
      <c r="GJ9" s="1">
        <v>1148.6500000000001</v>
      </c>
      <c r="GK9" s="1">
        <v>487.23</v>
      </c>
      <c r="GL9" s="1">
        <v>496.18</v>
      </c>
      <c r="GM9" s="1">
        <v>894.01</v>
      </c>
      <c r="GN9" s="1">
        <v>344.65</v>
      </c>
      <c r="GO9" s="1">
        <v>2561.86</v>
      </c>
      <c r="GP9" s="1">
        <v>1256.21</v>
      </c>
      <c r="GQ9" s="1">
        <v>1227.02</v>
      </c>
      <c r="GR9" s="1">
        <v>1428.19</v>
      </c>
      <c r="GS9" s="1">
        <v>2701.77</v>
      </c>
      <c r="GT9" s="1">
        <v>3501.94</v>
      </c>
      <c r="GU9" s="1">
        <v>3072.48</v>
      </c>
      <c r="GV9" s="1">
        <v>2950.99</v>
      </c>
      <c r="GW9" s="1">
        <v>2014.91</v>
      </c>
      <c r="GX9" s="1">
        <v>2821.15</v>
      </c>
      <c r="GY9" s="1">
        <v>2278.14</v>
      </c>
      <c r="GZ9" s="1">
        <v>982.56</v>
      </c>
      <c r="HA9" s="1">
        <v>953.07</v>
      </c>
      <c r="HB9" s="1">
        <v>1291.1099999999999</v>
      </c>
      <c r="HC9" s="1">
        <v>3656.59</v>
      </c>
      <c r="HD9" s="1">
        <v>2257.5500000000002</v>
      </c>
      <c r="HE9" s="1">
        <v>2975.54</v>
      </c>
      <c r="HF9" s="1">
        <v>1484.25</v>
      </c>
      <c r="HG9" s="1">
        <v>1719.71</v>
      </c>
      <c r="HH9" s="1">
        <v>633.42999999999995</v>
      </c>
      <c r="HI9" s="1">
        <v>809.49</v>
      </c>
      <c r="HJ9" s="1">
        <v>3335.32</v>
      </c>
      <c r="HK9" s="1">
        <v>2401.63</v>
      </c>
      <c r="HL9" s="1">
        <v>1449.5</v>
      </c>
      <c r="HM9" s="1">
        <v>3240.98</v>
      </c>
      <c r="HN9" s="1">
        <v>1099.0999999999999</v>
      </c>
      <c r="HO9" s="1">
        <v>3907.73</v>
      </c>
      <c r="HP9" s="1">
        <v>1477.55</v>
      </c>
      <c r="HQ9" s="1">
        <v>1448.65</v>
      </c>
      <c r="HR9" s="1">
        <v>1350.86</v>
      </c>
      <c r="HS9" s="1">
        <v>620.13</v>
      </c>
      <c r="HT9" s="1">
        <v>577.88</v>
      </c>
      <c r="HU9" s="1">
        <v>2645.2</v>
      </c>
      <c r="HV9" s="1">
        <v>3519.2</v>
      </c>
      <c r="HW9" s="1">
        <v>3193.5</v>
      </c>
      <c r="HX9" s="1">
        <v>693.26</v>
      </c>
      <c r="HY9" s="1">
        <v>2250.4899999999998</v>
      </c>
      <c r="HZ9" s="1">
        <v>556.53</v>
      </c>
      <c r="IA9" s="1">
        <v>324.38</v>
      </c>
      <c r="IB9" s="1">
        <v>2677.09</v>
      </c>
      <c r="IC9" s="1">
        <v>2210.34</v>
      </c>
      <c r="ID9" s="1">
        <v>465.79</v>
      </c>
      <c r="IE9" s="1">
        <v>284.52</v>
      </c>
      <c r="IF9" s="1">
        <v>3960.56</v>
      </c>
      <c r="IG9" s="1">
        <v>265.58</v>
      </c>
      <c r="IH9" s="1">
        <v>1861.43</v>
      </c>
      <c r="II9" s="1">
        <v>2092.7800000000002</v>
      </c>
      <c r="IJ9" s="1">
        <v>601.53</v>
      </c>
      <c r="IK9" s="1">
        <v>800.89</v>
      </c>
      <c r="IL9" s="1">
        <v>1504.45</v>
      </c>
      <c r="IM9" s="1">
        <v>3082.45</v>
      </c>
      <c r="IN9" s="1">
        <v>2102.27</v>
      </c>
      <c r="IO9" s="1">
        <v>2605.92</v>
      </c>
      <c r="IP9" s="1">
        <v>3942.92</v>
      </c>
      <c r="IQ9" s="1">
        <v>3106.82</v>
      </c>
      <c r="IR9" s="1">
        <v>1822.29</v>
      </c>
      <c r="IS9" s="1">
        <v>1868.8</v>
      </c>
      <c r="IT9" s="1">
        <v>2532.27</v>
      </c>
      <c r="IU9" s="1">
        <v>2711.66</v>
      </c>
      <c r="IV9" s="1">
        <v>2077.7399999999998</v>
      </c>
      <c r="IW9" s="1">
        <v>2632.72</v>
      </c>
      <c r="IX9" s="1">
        <v>240.6</v>
      </c>
      <c r="IY9" s="1">
        <v>1804.05</v>
      </c>
      <c r="IZ9" s="1">
        <v>1223.9100000000001</v>
      </c>
      <c r="JA9" s="1">
        <v>647.32000000000005</v>
      </c>
      <c r="JB9" s="1">
        <v>533.25</v>
      </c>
      <c r="JC9" s="1">
        <v>2472.29</v>
      </c>
      <c r="JD9" s="1">
        <v>2165.86</v>
      </c>
      <c r="JE9" s="1">
        <v>1126.3</v>
      </c>
      <c r="JF9" s="1">
        <v>1963.16</v>
      </c>
      <c r="JG9" s="1">
        <v>2045.09</v>
      </c>
      <c r="JH9" s="1">
        <v>900.78</v>
      </c>
      <c r="JI9" s="1">
        <v>2660.56</v>
      </c>
      <c r="JJ9" s="1">
        <v>3156.54</v>
      </c>
      <c r="JK9" s="1">
        <v>3197.13</v>
      </c>
      <c r="JL9" s="1">
        <v>2469.5100000000002</v>
      </c>
      <c r="JM9" s="1">
        <v>2119.81</v>
      </c>
      <c r="JN9" s="1">
        <v>384.88</v>
      </c>
      <c r="JO9" s="1">
        <v>1258.1500000000001</v>
      </c>
      <c r="JP9" s="1">
        <v>509.1</v>
      </c>
      <c r="JQ9" s="1">
        <v>3860.72</v>
      </c>
      <c r="JR9" s="1">
        <v>670.06</v>
      </c>
      <c r="JS9" s="1">
        <v>734.34</v>
      </c>
      <c r="JT9" s="1">
        <v>3574.87</v>
      </c>
      <c r="JU9" s="1">
        <v>3784.12</v>
      </c>
      <c r="JV9" s="1">
        <v>3098.44</v>
      </c>
      <c r="JW9" s="1">
        <v>170.81</v>
      </c>
      <c r="JX9" s="1">
        <v>155.18</v>
      </c>
      <c r="JY9" s="1">
        <v>1605.69</v>
      </c>
      <c r="JZ9" s="1">
        <v>702.07</v>
      </c>
      <c r="KA9" s="1">
        <v>220.79</v>
      </c>
      <c r="KB9" s="1">
        <v>1936.66</v>
      </c>
      <c r="KC9" s="1">
        <v>3780.79</v>
      </c>
      <c r="KD9" s="1">
        <v>1396.71</v>
      </c>
      <c r="KE9" s="1">
        <v>2695.39</v>
      </c>
      <c r="KF9" s="1">
        <v>2661.11</v>
      </c>
      <c r="KG9" s="1">
        <v>1116.6600000000001</v>
      </c>
      <c r="KH9" s="1">
        <v>2654.14</v>
      </c>
      <c r="KI9" s="1">
        <v>967.49</v>
      </c>
      <c r="KJ9" s="1">
        <v>619.73</v>
      </c>
      <c r="KK9" s="1">
        <v>2850.33</v>
      </c>
      <c r="KL9" s="1">
        <v>586.75</v>
      </c>
      <c r="KM9" s="1">
        <v>3988.1</v>
      </c>
      <c r="KN9" s="1">
        <v>856.29</v>
      </c>
      <c r="KO9" s="1">
        <v>2437.4499999999998</v>
      </c>
      <c r="KP9" s="1">
        <v>1733.79</v>
      </c>
      <c r="KQ9" s="1">
        <v>636.59</v>
      </c>
      <c r="KR9" s="1">
        <v>257.2</v>
      </c>
      <c r="KS9" s="1">
        <v>2547.52</v>
      </c>
      <c r="KT9" s="1">
        <v>3256.02</v>
      </c>
      <c r="KU9" s="1">
        <v>3391.76</v>
      </c>
      <c r="KV9" s="1">
        <v>2008.45</v>
      </c>
      <c r="KW9" s="1">
        <v>3143.2</v>
      </c>
      <c r="KX9" s="1">
        <v>2740.46</v>
      </c>
      <c r="KY9" s="1">
        <v>2938.38</v>
      </c>
      <c r="KZ9" s="1">
        <v>2046.51</v>
      </c>
      <c r="LA9" s="1">
        <v>2588.64</v>
      </c>
      <c r="LB9" s="1">
        <v>3251.27</v>
      </c>
      <c r="LC9" s="1">
        <v>1681.85</v>
      </c>
      <c r="LD9" s="1">
        <v>3253.02</v>
      </c>
      <c r="LE9" s="1">
        <v>2429.2600000000002</v>
      </c>
      <c r="LF9" s="1">
        <v>788.72</v>
      </c>
      <c r="LG9" s="1">
        <v>245.03</v>
      </c>
      <c r="LH9" s="1">
        <v>1546.6</v>
      </c>
      <c r="LI9" s="1">
        <v>2254.7800000000002</v>
      </c>
      <c r="LJ9" s="1">
        <v>3383.31</v>
      </c>
      <c r="LK9" s="1">
        <v>640.82000000000005</v>
      </c>
      <c r="LL9" s="1">
        <v>3230.79</v>
      </c>
      <c r="LM9" s="1">
        <v>3472.58</v>
      </c>
      <c r="LN9" s="1">
        <v>730.15</v>
      </c>
      <c r="LO9" s="1">
        <v>3428.64</v>
      </c>
      <c r="LP9" s="1">
        <v>3967.1</v>
      </c>
      <c r="LQ9" s="1">
        <v>2948.33</v>
      </c>
      <c r="LR9" s="1">
        <v>3171.36</v>
      </c>
      <c r="LS9" s="1">
        <v>3978.5</v>
      </c>
      <c r="LT9" s="1">
        <v>2481.1</v>
      </c>
      <c r="LU9" s="1">
        <v>1335.36</v>
      </c>
      <c r="LV9" s="1">
        <v>3374.49</v>
      </c>
      <c r="LW9" s="1">
        <v>2515.77</v>
      </c>
      <c r="LX9" s="1">
        <v>2387.6</v>
      </c>
      <c r="LY9" s="1">
        <v>1126.5</v>
      </c>
      <c r="LZ9" s="1">
        <v>3061.89</v>
      </c>
      <c r="MA9" s="1">
        <v>464.42</v>
      </c>
      <c r="MB9" s="1">
        <v>3708.51</v>
      </c>
      <c r="MC9" s="1">
        <v>1404.42</v>
      </c>
      <c r="MD9" s="1">
        <v>641.92999999999995</v>
      </c>
      <c r="ME9" s="1">
        <v>1853.11</v>
      </c>
      <c r="MF9" s="1">
        <v>313.51</v>
      </c>
      <c r="MG9" s="1">
        <v>2785.81</v>
      </c>
      <c r="MH9" s="1">
        <v>3625.42</v>
      </c>
      <c r="MI9" s="1">
        <v>3373.46</v>
      </c>
      <c r="MJ9" s="1">
        <v>640.37</v>
      </c>
      <c r="MK9" s="1">
        <v>636.14</v>
      </c>
      <c r="ML9" s="1">
        <v>3281.72</v>
      </c>
      <c r="MM9" s="1">
        <v>3708.38</v>
      </c>
      <c r="MN9" s="1">
        <v>1923.58</v>
      </c>
      <c r="MO9" s="1">
        <v>2071.04</v>
      </c>
      <c r="MP9" s="1">
        <v>1375.31</v>
      </c>
      <c r="MQ9" s="1">
        <v>3592.92</v>
      </c>
      <c r="MR9" s="1">
        <v>2632.88</v>
      </c>
      <c r="MS9" s="1">
        <v>1259.77</v>
      </c>
      <c r="MT9" s="1">
        <v>1300.31</v>
      </c>
      <c r="MU9" s="1">
        <v>3581.12</v>
      </c>
      <c r="MV9" s="1">
        <v>202.49</v>
      </c>
      <c r="MW9" s="1">
        <v>1392.5</v>
      </c>
      <c r="MX9" s="1">
        <v>2284.27</v>
      </c>
      <c r="MY9" s="1">
        <v>720.64</v>
      </c>
      <c r="MZ9" s="1">
        <v>504.58</v>
      </c>
      <c r="NA9" s="1">
        <v>3288.81</v>
      </c>
      <c r="NB9" s="1">
        <v>3593.46</v>
      </c>
      <c r="NC9" s="1">
        <v>3320.88</v>
      </c>
      <c r="ND9" s="1">
        <v>3610.33</v>
      </c>
      <c r="NE9" s="1">
        <v>2279.48</v>
      </c>
      <c r="NF9" s="1">
        <v>3277.19</v>
      </c>
      <c r="NG9" s="1">
        <v>1628.56</v>
      </c>
      <c r="NH9" s="1">
        <v>2715.13</v>
      </c>
      <c r="NI9" s="1">
        <v>3957.02</v>
      </c>
      <c r="NJ9" s="1">
        <v>1019.05</v>
      </c>
      <c r="NK9" s="1">
        <v>1651.11</v>
      </c>
      <c r="NL9" s="1">
        <v>1998.18</v>
      </c>
      <c r="NM9" s="1">
        <v>681.36</v>
      </c>
      <c r="NN9" s="1">
        <v>462</v>
      </c>
      <c r="NO9" s="1">
        <v>3344.43</v>
      </c>
      <c r="NP9" s="1">
        <v>3910.66</v>
      </c>
      <c r="NQ9" s="1">
        <v>1708.19</v>
      </c>
      <c r="NR9" s="1">
        <v>487.45</v>
      </c>
      <c r="NS9" s="1">
        <v>403.38</v>
      </c>
      <c r="NT9" s="1">
        <v>3581.58</v>
      </c>
      <c r="NU9" s="1">
        <v>1935.68</v>
      </c>
      <c r="NV9" s="1">
        <v>1382.11</v>
      </c>
      <c r="NW9" s="1">
        <v>1984.38</v>
      </c>
      <c r="NX9" s="1">
        <v>1375.47</v>
      </c>
      <c r="NY9" s="1">
        <v>2032.79</v>
      </c>
      <c r="NZ9" s="1">
        <v>3459.29</v>
      </c>
      <c r="OA9" s="1">
        <v>2430.36</v>
      </c>
      <c r="OB9" s="1">
        <v>2824.42</v>
      </c>
      <c r="OC9" s="1">
        <v>1553.98</v>
      </c>
      <c r="OD9" s="1">
        <v>2993.25</v>
      </c>
      <c r="OE9" s="1">
        <v>2716.48</v>
      </c>
      <c r="OF9" s="1">
        <v>610.30999999999995</v>
      </c>
      <c r="OG9" s="1">
        <v>2354.67</v>
      </c>
      <c r="OH9" s="1">
        <v>1138.46</v>
      </c>
      <c r="OI9" s="1">
        <v>3245.77</v>
      </c>
      <c r="OJ9" s="1">
        <v>1789.86</v>
      </c>
      <c r="OK9" s="1">
        <v>3979.53</v>
      </c>
      <c r="OL9" s="1">
        <v>506.13</v>
      </c>
      <c r="OM9" s="1">
        <v>3154.34</v>
      </c>
      <c r="ON9" s="1">
        <v>2743.75</v>
      </c>
      <c r="OO9" s="1">
        <v>3104.87</v>
      </c>
      <c r="OP9" s="1">
        <v>1333.99</v>
      </c>
      <c r="OQ9" s="1">
        <v>2044.41</v>
      </c>
      <c r="OR9" s="1">
        <v>3216.56</v>
      </c>
      <c r="OS9" s="1">
        <v>1045.28</v>
      </c>
      <c r="OT9" s="1">
        <v>1020.23</v>
      </c>
      <c r="OU9" s="1">
        <v>2271.5500000000002</v>
      </c>
      <c r="OV9" s="1">
        <v>2165.7199999999998</v>
      </c>
      <c r="OW9" s="1">
        <v>1236.71</v>
      </c>
      <c r="OX9" s="1">
        <v>1297.5899999999999</v>
      </c>
      <c r="OY9" s="1">
        <v>1219.7</v>
      </c>
      <c r="OZ9" s="1">
        <v>3120.32</v>
      </c>
      <c r="PA9" s="1">
        <v>2659.82</v>
      </c>
      <c r="PB9" s="1">
        <v>3354.81</v>
      </c>
      <c r="PC9" s="1">
        <v>3905.57</v>
      </c>
      <c r="PD9" s="1">
        <v>1975.53</v>
      </c>
      <c r="PE9" s="1">
        <v>406.77</v>
      </c>
      <c r="PF9" s="1">
        <v>335.16</v>
      </c>
      <c r="PG9" s="1">
        <v>1288.31</v>
      </c>
      <c r="PH9" s="1">
        <v>3740.3</v>
      </c>
      <c r="PI9" s="1">
        <v>2164.37</v>
      </c>
      <c r="PJ9" s="1">
        <v>1196.3800000000001</v>
      </c>
      <c r="PK9" s="1">
        <v>1686.79</v>
      </c>
      <c r="PL9" s="1">
        <v>2454.59</v>
      </c>
      <c r="PM9" s="1">
        <v>2663.86</v>
      </c>
      <c r="PN9" s="1">
        <v>742.59</v>
      </c>
      <c r="PO9" s="1">
        <v>3911.57</v>
      </c>
      <c r="PP9" s="1">
        <v>2247.37</v>
      </c>
      <c r="PQ9" s="1">
        <v>672.4</v>
      </c>
      <c r="PR9" s="1">
        <v>3590.5</v>
      </c>
      <c r="PS9" s="1">
        <v>437.36</v>
      </c>
      <c r="PT9" s="1">
        <v>3644.78</v>
      </c>
      <c r="PU9" s="1">
        <v>3986.78</v>
      </c>
      <c r="PV9" s="1">
        <v>2846.66</v>
      </c>
      <c r="PW9" s="1">
        <v>3116.22</v>
      </c>
      <c r="PX9" s="1">
        <v>1448.62</v>
      </c>
      <c r="PY9" s="1">
        <v>3775.07</v>
      </c>
      <c r="PZ9" s="1">
        <v>2189.4</v>
      </c>
      <c r="QA9" s="1">
        <v>2969.7</v>
      </c>
      <c r="QB9" s="1">
        <v>3707.81</v>
      </c>
      <c r="QC9" s="1">
        <v>3904.44</v>
      </c>
      <c r="QD9" s="1">
        <v>3357.84</v>
      </c>
      <c r="QE9" s="1">
        <v>1316.62</v>
      </c>
      <c r="QF9" s="1">
        <v>3871.21</v>
      </c>
      <c r="QG9" s="1">
        <v>2568.2600000000002</v>
      </c>
      <c r="QH9" s="1">
        <v>3732.97</v>
      </c>
      <c r="QI9" s="1">
        <v>2753</v>
      </c>
      <c r="QJ9" s="1">
        <v>1332.87</v>
      </c>
      <c r="QK9" s="1">
        <v>1574.59</v>
      </c>
      <c r="QL9" s="1">
        <v>2269.3200000000002</v>
      </c>
      <c r="QM9" s="1">
        <v>3191.56</v>
      </c>
      <c r="QN9" s="1">
        <v>1374.23</v>
      </c>
      <c r="QO9" s="1">
        <v>2381.96</v>
      </c>
      <c r="QP9" s="1">
        <v>1480.66</v>
      </c>
      <c r="QQ9" s="1">
        <v>3290.71</v>
      </c>
      <c r="QR9" s="1">
        <v>1946.9</v>
      </c>
      <c r="QS9" s="1">
        <v>445.38</v>
      </c>
      <c r="QT9" s="1">
        <v>789.3</v>
      </c>
      <c r="QU9" s="1">
        <v>385.25</v>
      </c>
      <c r="QV9" s="1">
        <v>2072.3200000000002</v>
      </c>
      <c r="QW9" s="1">
        <v>559.4</v>
      </c>
      <c r="QX9" s="1">
        <v>589.44000000000005</v>
      </c>
      <c r="QY9" s="1">
        <v>3773.04</v>
      </c>
      <c r="QZ9" s="1">
        <v>3509.72</v>
      </c>
      <c r="RA9" s="1">
        <v>1890.53</v>
      </c>
      <c r="RB9" s="1">
        <v>3945.35</v>
      </c>
      <c r="RC9" s="1">
        <v>150.72</v>
      </c>
      <c r="RD9" s="1">
        <v>2513.8200000000002</v>
      </c>
      <c r="RE9" s="1">
        <v>2523.25</v>
      </c>
      <c r="RF9" s="1">
        <v>1911.16</v>
      </c>
      <c r="RG9" s="1">
        <v>1678.25</v>
      </c>
      <c r="RH9" s="1">
        <v>1903.23</v>
      </c>
      <c r="RI9" s="1">
        <v>1747.6</v>
      </c>
      <c r="RJ9" s="1">
        <v>2962.4</v>
      </c>
      <c r="RK9" s="1">
        <v>671.12</v>
      </c>
      <c r="RL9" s="1">
        <v>910.91</v>
      </c>
      <c r="RM9" s="1">
        <v>845</v>
      </c>
      <c r="RN9" s="1">
        <v>1160.51</v>
      </c>
      <c r="RO9" s="1">
        <v>2172.2399999999998</v>
      </c>
      <c r="RP9" s="1">
        <v>578.15</v>
      </c>
      <c r="RQ9" s="1">
        <v>3492.45</v>
      </c>
      <c r="RR9" s="1">
        <v>1294.8399999999999</v>
      </c>
      <c r="RS9" s="1">
        <v>775.77</v>
      </c>
      <c r="RT9" s="1">
        <v>2751.14</v>
      </c>
      <c r="RU9" s="1">
        <v>296.63</v>
      </c>
      <c r="RV9" s="1">
        <v>2536.88</v>
      </c>
      <c r="RW9" s="1">
        <v>2838.06</v>
      </c>
      <c r="RX9" s="1">
        <v>977.43</v>
      </c>
      <c r="RY9" s="1">
        <v>311.56</v>
      </c>
      <c r="RZ9" s="1">
        <v>1550.03</v>
      </c>
      <c r="SA9" s="1">
        <v>529.59</v>
      </c>
      <c r="SB9" s="1">
        <v>598.44000000000005</v>
      </c>
      <c r="SC9" s="1">
        <v>1128.9100000000001</v>
      </c>
      <c r="SD9" s="1">
        <v>1287.55</v>
      </c>
      <c r="SE9" s="1">
        <v>2190.39</v>
      </c>
      <c r="SF9" s="1">
        <v>2761.81</v>
      </c>
      <c r="SG9" s="1">
        <v>2432.17</v>
      </c>
    </row>
    <row r="10" spans="1:501" x14ac:dyDescent="0.3">
      <c r="A10" s="3" t="s">
        <v>9</v>
      </c>
      <c r="B10" s="1">
        <v>19907.09</v>
      </c>
      <c r="C10" s="1">
        <v>21590.720000000001</v>
      </c>
      <c r="D10" s="1">
        <v>17719.13</v>
      </c>
      <c r="E10" s="1">
        <v>857.47</v>
      </c>
      <c r="F10" s="1">
        <v>19664.23</v>
      </c>
      <c r="G10" s="1">
        <v>8611.7800000000007</v>
      </c>
      <c r="H10" s="1">
        <v>13636.89</v>
      </c>
      <c r="I10" s="1">
        <v>8318.99</v>
      </c>
      <c r="J10" s="1">
        <v>4666.67</v>
      </c>
      <c r="K10" s="1">
        <v>7122.64</v>
      </c>
      <c r="L10" s="1">
        <v>19231.5</v>
      </c>
      <c r="M10" s="1">
        <v>1552.39</v>
      </c>
      <c r="N10" s="1">
        <v>25287.200000000001</v>
      </c>
      <c r="O10" s="1">
        <v>7305.04</v>
      </c>
      <c r="P10" s="1">
        <v>5715.28</v>
      </c>
      <c r="Q10" s="1">
        <v>4525.42</v>
      </c>
      <c r="R10" s="1">
        <v>433.35</v>
      </c>
      <c r="S10" s="1">
        <v>1840.94</v>
      </c>
      <c r="T10" s="1">
        <v>1683.51</v>
      </c>
      <c r="U10" s="1">
        <v>7522.69</v>
      </c>
      <c r="V10" s="1">
        <v>6730.5</v>
      </c>
      <c r="W10" s="1">
        <v>3812.82</v>
      </c>
      <c r="X10" s="1">
        <v>4482.78</v>
      </c>
      <c r="Y10" s="1">
        <v>3606.31</v>
      </c>
      <c r="Z10" s="1">
        <v>17207.96</v>
      </c>
      <c r="AA10" s="1">
        <v>3798.68</v>
      </c>
      <c r="AB10" s="1">
        <v>10257.58</v>
      </c>
      <c r="AC10" s="1">
        <v>15391.82</v>
      </c>
      <c r="AD10" s="1">
        <v>1936.65</v>
      </c>
      <c r="AE10" s="1">
        <v>314.44</v>
      </c>
      <c r="AF10" s="1">
        <v>9182.6</v>
      </c>
      <c r="AG10" s="1">
        <v>2852.81</v>
      </c>
      <c r="AH10" s="1">
        <v>18833.810000000001</v>
      </c>
      <c r="AI10" s="1">
        <v>9177.5400000000009</v>
      </c>
      <c r="AJ10" s="1">
        <v>24369.86</v>
      </c>
      <c r="AK10" s="1">
        <v>11639.5</v>
      </c>
      <c r="AL10" s="1">
        <v>3242.5</v>
      </c>
      <c r="AM10" s="1">
        <v>3849.78</v>
      </c>
      <c r="AN10" s="1">
        <v>14098.05</v>
      </c>
      <c r="AO10" s="1">
        <v>16649.55</v>
      </c>
      <c r="AP10" s="1">
        <v>25270.400000000001</v>
      </c>
      <c r="AQ10" s="1">
        <v>3877.34</v>
      </c>
      <c r="AR10" s="1">
        <v>3979.49</v>
      </c>
      <c r="AS10" s="1">
        <v>686.43</v>
      </c>
      <c r="AT10" s="1">
        <v>2764.92</v>
      </c>
      <c r="AU10" s="1">
        <v>3202.49</v>
      </c>
      <c r="AV10" s="1">
        <v>1415.94</v>
      </c>
      <c r="AW10" s="1">
        <v>11715.78</v>
      </c>
      <c r="AX10" s="1">
        <v>19165.14</v>
      </c>
      <c r="AY10" s="1">
        <v>6482.11</v>
      </c>
      <c r="AZ10" s="1">
        <v>4724.3900000000003</v>
      </c>
      <c r="BA10" s="1">
        <v>7605.28</v>
      </c>
      <c r="BB10" s="1">
        <v>11403.31</v>
      </c>
      <c r="BC10" s="1">
        <v>10286.06</v>
      </c>
      <c r="BD10" s="1">
        <v>7074.06</v>
      </c>
      <c r="BE10" s="1">
        <v>17353.87</v>
      </c>
      <c r="BF10" s="1">
        <v>7288.78</v>
      </c>
      <c r="BG10" s="1">
        <v>8137.32</v>
      </c>
      <c r="BH10" s="1">
        <v>16978.88</v>
      </c>
      <c r="BI10" s="1">
        <v>21272.1</v>
      </c>
      <c r="BJ10" s="1">
        <v>2013.23</v>
      </c>
      <c r="BK10" s="1">
        <v>21426.98</v>
      </c>
      <c r="BL10" s="1">
        <v>14286.83</v>
      </c>
      <c r="BM10" s="1">
        <v>1770.04</v>
      </c>
      <c r="BN10" s="1">
        <v>4991.78</v>
      </c>
      <c r="BO10" s="1">
        <v>28649.8</v>
      </c>
      <c r="BP10" s="1">
        <v>280.61</v>
      </c>
      <c r="BQ10" s="1">
        <v>8283.9599999999991</v>
      </c>
      <c r="BR10" s="1">
        <v>10470.790000000001</v>
      </c>
      <c r="BS10" s="1">
        <v>11558.88</v>
      </c>
      <c r="BT10" s="1">
        <v>10985.92</v>
      </c>
      <c r="BU10" s="1">
        <v>4742.59</v>
      </c>
      <c r="BV10" s="1">
        <v>2885.73</v>
      </c>
      <c r="BW10" s="1">
        <v>6590.67</v>
      </c>
      <c r="BX10" s="1">
        <v>8881.84</v>
      </c>
      <c r="BY10" s="1">
        <v>4882.72</v>
      </c>
      <c r="BZ10" s="1">
        <v>2660.26</v>
      </c>
      <c r="CA10" s="1">
        <v>6419.98</v>
      </c>
      <c r="CB10" s="1">
        <v>9740.4</v>
      </c>
      <c r="CC10" s="1">
        <v>708.07</v>
      </c>
      <c r="CD10" s="1">
        <v>21857.46</v>
      </c>
      <c r="CE10" s="1">
        <v>4510.1400000000003</v>
      </c>
      <c r="CF10" s="1">
        <v>7579.78</v>
      </c>
      <c r="CG10" s="1">
        <v>3432.58</v>
      </c>
      <c r="CH10" s="1">
        <v>2307.15</v>
      </c>
      <c r="CI10" s="1">
        <v>1659.39</v>
      </c>
      <c r="CJ10" s="1">
        <v>9131.25</v>
      </c>
      <c r="CK10" s="1">
        <v>9310.56</v>
      </c>
      <c r="CL10" s="1">
        <v>3132.05</v>
      </c>
      <c r="CM10" s="1">
        <v>6437.39</v>
      </c>
      <c r="CN10" s="1">
        <v>15167.34</v>
      </c>
      <c r="CO10" s="1">
        <v>978.49</v>
      </c>
      <c r="CP10" s="1">
        <v>13959.07</v>
      </c>
      <c r="CQ10" s="1">
        <v>5801.47</v>
      </c>
      <c r="CR10" s="1">
        <v>3695.92</v>
      </c>
      <c r="CS10" s="1">
        <v>2249.89</v>
      </c>
      <c r="CT10" s="1">
        <v>4290.3</v>
      </c>
      <c r="CU10" s="1">
        <v>4631.07</v>
      </c>
      <c r="CV10" s="1">
        <v>757.8</v>
      </c>
      <c r="CW10" s="1">
        <v>19887.27</v>
      </c>
      <c r="CX10" s="1">
        <v>11445.62</v>
      </c>
      <c r="CY10" s="1">
        <v>2974.45</v>
      </c>
      <c r="CZ10" s="1">
        <v>20105.900000000001</v>
      </c>
      <c r="DA10" s="1">
        <v>12075.79</v>
      </c>
      <c r="DB10" s="1">
        <v>814.63</v>
      </c>
      <c r="DC10" s="1">
        <v>10776.48</v>
      </c>
      <c r="DD10" s="1">
        <v>4517.79</v>
      </c>
      <c r="DE10" s="1">
        <v>959.33</v>
      </c>
      <c r="DF10" s="1">
        <v>11186.24</v>
      </c>
      <c r="DG10" s="1">
        <v>9968.83</v>
      </c>
      <c r="DH10" s="1">
        <v>1638.02</v>
      </c>
      <c r="DI10" s="1">
        <v>3553.89</v>
      </c>
      <c r="DJ10" s="1">
        <v>10837.3</v>
      </c>
      <c r="DK10" s="1">
        <v>9771.68</v>
      </c>
      <c r="DL10" s="1">
        <v>7242.18</v>
      </c>
      <c r="DM10" s="1">
        <v>5822.31</v>
      </c>
      <c r="DN10" s="1">
        <v>17062.900000000001</v>
      </c>
      <c r="DO10" s="1">
        <v>3685.94</v>
      </c>
      <c r="DP10" s="1">
        <v>26717.439999999999</v>
      </c>
      <c r="DQ10" s="1">
        <v>19248.16</v>
      </c>
      <c r="DR10" s="1">
        <v>14161.4</v>
      </c>
      <c r="DS10" s="1">
        <v>6993.65</v>
      </c>
      <c r="DT10" s="1">
        <v>5882.8</v>
      </c>
      <c r="DU10" s="1">
        <v>7358.61</v>
      </c>
      <c r="DV10" s="1">
        <v>31051.71</v>
      </c>
      <c r="DW10" s="1">
        <v>28288.87</v>
      </c>
      <c r="DX10" s="1">
        <v>9969.5300000000007</v>
      </c>
      <c r="DY10" s="1">
        <v>3958.56</v>
      </c>
      <c r="DZ10" s="1">
        <v>4865.01</v>
      </c>
      <c r="EA10" s="1">
        <v>2407.75</v>
      </c>
      <c r="EB10" s="1">
        <v>11301.73</v>
      </c>
      <c r="EC10" s="1">
        <v>12614.92</v>
      </c>
      <c r="ED10" s="1">
        <v>3990.85</v>
      </c>
      <c r="EE10" s="1">
        <v>6023.85</v>
      </c>
      <c r="EF10" s="1">
        <v>10942.06</v>
      </c>
      <c r="EG10" s="1">
        <v>10855.74</v>
      </c>
      <c r="EH10" s="1">
        <v>2247.91</v>
      </c>
      <c r="EI10" s="1">
        <v>912.67</v>
      </c>
      <c r="EJ10" s="1">
        <v>725.24</v>
      </c>
      <c r="EK10" s="1">
        <v>11409.31</v>
      </c>
      <c r="EL10" s="1">
        <v>3179.56</v>
      </c>
      <c r="EM10" s="1">
        <v>2063.0500000000002</v>
      </c>
      <c r="EN10" s="1">
        <v>24473.53</v>
      </c>
      <c r="EO10" s="1">
        <v>20087.810000000001</v>
      </c>
      <c r="EP10" s="1">
        <v>3523.12</v>
      </c>
      <c r="EQ10" s="1">
        <v>7911.36</v>
      </c>
      <c r="ER10" s="1">
        <v>10560.22</v>
      </c>
      <c r="ES10" s="1">
        <v>8692</v>
      </c>
      <c r="ET10" s="1">
        <v>19980.439999999999</v>
      </c>
      <c r="EU10" s="1">
        <v>5616.12</v>
      </c>
      <c r="EV10" s="1">
        <v>6209.68</v>
      </c>
      <c r="EW10" s="1">
        <v>2924.2</v>
      </c>
      <c r="EX10" s="1">
        <v>1899.23</v>
      </c>
      <c r="EY10" s="1">
        <v>1529.12</v>
      </c>
      <c r="EZ10" s="1">
        <v>4903.3100000000004</v>
      </c>
      <c r="FA10" s="1">
        <v>2273.12</v>
      </c>
      <c r="FB10" s="1">
        <v>8437.84</v>
      </c>
      <c r="FC10" s="1">
        <v>22753.34</v>
      </c>
      <c r="FD10" s="1">
        <v>22804.62</v>
      </c>
      <c r="FE10" s="1">
        <v>5026.34</v>
      </c>
      <c r="FF10" s="1">
        <v>8412.41</v>
      </c>
      <c r="FG10" s="1">
        <v>9329.68</v>
      </c>
      <c r="FH10" s="1">
        <v>975.38</v>
      </c>
      <c r="FI10" s="1">
        <v>922.66</v>
      </c>
      <c r="FJ10" s="1">
        <v>11899.62</v>
      </c>
      <c r="FK10" s="1">
        <v>6809.18</v>
      </c>
      <c r="FL10" s="1">
        <v>10513.77</v>
      </c>
      <c r="FM10" s="1">
        <v>1423.4</v>
      </c>
      <c r="FN10" s="1">
        <v>16402.37</v>
      </c>
      <c r="FO10" s="1">
        <v>19716.98</v>
      </c>
      <c r="FP10" s="1">
        <v>28842.080000000002</v>
      </c>
      <c r="FQ10" s="1">
        <v>22746.38</v>
      </c>
      <c r="FR10" s="1">
        <v>3869.64</v>
      </c>
      <c r="FS10" s="1">
        <v>2815.99</v>
      </c>
      <c r="FT10" s="1">
        <v>9075.8700000000008</v>
      </c>
      <c r="FU10" s="1">
        <v>7371.19</v>
      </c>
      <c r="FV10" s="1">
        <v>2329.9299999999998</v>
      </c>
      <c r="FW10" s="1">
        <v>1096.77</v>
      </c>
      <c r="FX10" s="1">
        <v>3144.91</v>
      </c>
      <c r="FY10" s="1">
        <v>15920.42</v>
      </c>
      <c r="FZ10" s="1">
        <v>9317.52</v>
      </c>
      <c r="GA10" s="1">
        <v>11563.74</v>
      </c>
      <c r="GB10" s="1">
        <v>3685.19</v>
      </c>
      <c r="GC10" s="1">
        <v>9034.44</v>
      </c>
      <c r="GD10" s="1">
        <v>6290.34</v>
      </c>
      <c r="GE10" s="1">
        <v>508.81</v>
      </c>
      <c r="GF10" s="1">
        <v>1557.37</v>
      </c>
      <c r="GG10" s="1">
        <v>2102.89</v>
      </c>
      <c r="GH10" s="1">
        <v>1806.95</v>
      </c>
      <c r="GI10" s="1">
        <v>2607.92</v>
      </c>
      <c r="GJ10" s="1">
        <v>6834.47</v>
      </c>
      <c r="GK10" s="1">
        <v>828.29</v>
      </c>
      <c r="GL10" s="1">
        <v>1687.01</v>
      </c>
      <c r="GM10" s="1">
        <v>1519.82</v>
      </c>
      <c r="GN10" s="1">
        <v>1861.11</v>
      </c>
      <c r="GO10" s="1">
        <v>20494.88</v>
      </c>
      <c r="GP10" s="1">
        <v>4522.3599999999997</v>
      </c>
      <c r="GQ10" s="1">
        <v>5214.84</v>
      </c>
      <c r="GR10" s="1">
        <v>5141.4799999999996</v>
      </c>
      <c r="GS10" s="1">
        <v>6889.51</v>
      </c>
      <c r="GT10" s="1">
        <v>14007.76</v>
      </c>
      <c r="GU10" s="1">
        <v>27652.32</v>
      </c>
      <c r="GV10" s="1">
        <v>18886.34</v>
      </c>
      <c r="GW10" s="1">
        <v>15313.32</v>
      </c>
      <c r="GX10" s="1">
        <v>20312.28</v>
      </c>
      <c r="GY10" s="1">
        <v>17313.86</v>
      </c>
      <c r="GZ10" s="1">
        <v>6190.13</v>
      </c>
      <c r="HA10" s="1">
        <v>6099.65</v>
      </c>
      <c r="HB10" s="1">
        <v>8779.5499999999993</v>
      </c>
      <c r="HC10" s="1">
        <v>24864.81</v>
      </c>
      <c r="HD10" s="1">
        <v>14222.56</v>
      </c>
      <c r="HE10" s="1">
        <v>2529.21</v>
      </c>
      <c r="HF10" s="1">
        <v>4749.6000000000004</v>
      </c>
      <c r="HG10" s="1">
        <v>5847.01</v>
      </c>
      <c r="HH10" s="1">
        <v>2533.7199999999998</v>
      </c>
      <c r="HI10" s="1">
        <v>4614.09</v>
      </c>
      <c r="HJ10" s="1">
        <v>10673.02</v>
      </c>
      <c r="HK10" s="1">
        <v>4803.26</v>
      </c>
      <c r="HL10" s="1">
        <v>8697</v>
      </c>
      <c r="HM10" s="1">
        <v>25927.84</v>
      </c>
      <c r="HN10" s="1">
        <v>7913.52</v>
      </c>
      <c r="HO10" s="1">
        <v>24618.7</v>
      </c>
      <c r="HP10" s="1">
        <v>7978.77</v>
      </c>
      <c r="HQ10" s="1">
        <v>2317.84</v>
      </c>
      <c r="HR10" s="1">
        <v>8510.42</v>
      </c>
      <c r="HS10" s="1">
        <v>2945.62</v>
      </c>
      <c r="HT10" s="1">
        <v>3467.28</v>
      </c>
      <c r="HU10" s="1">
        <v>16929.28</v>
      </c>
      <c r="HV10" s="1">
        <v>28153.599999999999</v>
      </c>
      <c r="HW10" s="1">
        <v>8622.4500000000007</v>
      </c>
      <c r="HX10" s="1">
        <v>3882.26</v>
      </c>
      <c r="HY10" s="1">
        <v>1912.92</v>
      </c>
      <c r="HZ10" s="1">
        <v>528.70000000000005</v>
      </c>
      <c r="IA10" s="1">
        <v>2043.59</v>
      </c>
      <c r="IB10" s="1">
        <v>21684.43</v>
      </c>
      <c r="IC10" s="1">
        <v>14698.76</v>
      </c>
      <c r="ID10" s="1">
        <v>2212.5</v>
      </c>
      <c r="IE10" s="1">
        <v>1934.74</v>
      </c>
      <c r="IF10" s="1">
        <v>7129.01</v>
      </c>
      <c r="IG10" s="1">
        <v>2151.1999999999998</v>
      </c>
      <c r="IH10" s="1">
        <v>11168.58</v>
      </c>
      <c r="II10" s="1">
        <v>15068.02</v>
      </c>
      <c r="IJ10" s="1">
        <v>962.45</v>
      </c>
      <c r="IK10" s="1">
        <v>2402.67</v>
      </c>
      <c r="IL10" s="1">
        <v>9628.48</v>
      </c>
      <c r="IM10" s="1">
        <v>2928.33</v>
      </c>
      <c r="IN10" s="1">
        <v>11772.71</v>
      </c>
      <c r="IO10" s="1">
        <v>14593.15</v>
      </c>
      <c r="IP10" s="1">
        <v>3942.92</v>
      </c>
      <c r="IQ10" s="1">
        <v>23767.17</v>
      </c>
      <c r="IR10" s="1">
        <v>11662.66</v>
      </c>
      <c r="IS10" s="1">
        <v>5980.16</v>
      </c>
      <c r="IT10" s="1">
        <v>10762.15</v>
      </c>
      <c r="IU10" s="1">
        <v>5423.32</v>
      </c>
      <c r="IV10" s="1">
        <v>15894.71</v>
      </c>
      <c r="IW10" s="1">
        <v>15796.32</v>
      </c>
      <c r="IX10" s="1">
        <v>685.71</v>
      </c>
      <c r="IY10" s="1">
        <v>12628.35</v>
      </c>
      <c r="IZ10" s="1">
        <v>10464.43</v>
      </c>
      <c r="JA10" s="1">
        <v>1844.86</v>
      </c>
      <c r="JB10" s="1">
        <v>1066.5</v>
      </c>
      <c r="JC10" s="1">
        <v>15575.43</v>
      </c>
      <c r="JD10" s="1">
        <v>15161.02</v>
      </c>
      <c r="JE10" s="1">
        <v>3604.16</v>
      </c>
      <c r="JF10" s="1">
        <v>14134.75</v>
      </c>
      <c r="JG10" s="1">
        <v>14724.65</v>
      </c>
      <c r="JH10" s="1">
        <v>855.74</v>
      </c>
      <c r="JI10" s="1">
        <v>2394.5</v>
      </c>
      <c r="JJ10" s="1">
        <v>12626.16</v>
      </c>
      <c r="JK10" s="1">
        <v>17264.5</v>
      </c>
      <c r="JL10" s="1">
        <v>7408.53</v>
      </c>
      <c r="JM10" s="1">
        <v>17170.46</v>
      </c>
      <c r="JN10" s="1">
        <v>2193.8200000000002</v>
      </c>
      <c r="JO10" s="1">
        <v>5032.6000000000004</v>
      </c>
      <c r="JP10" s="1">
        <v>3029.14</v>
      </c>
      <c r="JQ10" s="1">
        <v>24708.61</v>
      </c>
      <c r="JR10" s="1">
        <v>4824.43</v>
      </c>
      <c r="JS10" s="1">
        <v>3965.44</v>
      </c>
      <c r="JT10" s="1">
        <v>21449.22</v>
      </c>
      <c r="JU10" s="1">
        <v>25732.02</v>
      </c>
      <c r="JV10" s="1">
        <v>15492.2</v>
      </c>
      <c r="JW10" s="1">
        <v>409.94</v>
      </c>
      <c r="JX10" s="1">
        <v>465.54</v>
      </c>
      <c r="JY10" s="1">
        <v>8189.02</v>
      </c>
      <c r="JZ10" s="1">
        <v>1263.73</v>
      </c>
      <c r="KA10" s="1">
        <v>1258.5</v>
      </c>
      <c r="KB10" s="1">
        <v>11619.96</v>
      </c>
      <c r="KC10" s="1">
        <v>28734</v>
      </c>
      <c r="KD10" s="1">
        <v>7821.58</v>
      </c>
      <c r="KE10" s="1">
        <v>19406.810000000001</v>
      </c>
      <c r="KF10" s="1">
        <v>21554.99</v>
      </c>
      <c r="KG10" s="1">
        <v>6699.96</v>
      </c>
      <c r="KH10" s="1">
        <v>7166.18</v>
      </c>
      <c r="KI10" s="1">
        <v>2902.47</v>
      </c>
      <c r="KJ10" s="1">
        <v>619.73</v>
      </c>
      <c r="KK10" s="1">
        <v>13539.07</v>
      </c>
      <c r="KL10" s="1">
        <v>2112.3000000000002</v>
      </c>
      <c r="KM10" s="1">
        <v>35892.9</v>
      </c>
      <c r="KN10" s="1">
        <v>7321.28</v>
      </c>
      <c r="KO10" s="1">
        <v>10359.16</v>
      </c>
      <c r="KP10" s="1">
        <v>6588.4</v>
      </c>
      <c r="KQ10" s="1">
        <v>4233.32</v>
      </c>
      <c r="KR10" s="1">
        <v>1543.2</v>
      </c>
      <c r="KS10" s="1">
        <v>8152.06</v>
      </c>
      <c r="KT10" s="1">
        <v>5209.63</v>
      </c>
      <c r="KU10" s="1">
        <v>2713.41</v>
      </c>
      <c r="KV10" s="1">
        <v>7632.11</v>
      </c>
      <c r="KW10" s="1">
        <v>12572.8</v>
      </c>
      <c r="KX10" s="1">
        <v>2466.41</v>
      </c>
      <c r="KY10" s="1">
        <v>16748.77</v>
      </c>
      <c r="KZ10" s="1">
        <v>7776.74</v>
      </c>
      <c r="LA10" s="1">
        <v>2588.64</v>
      </c>
      <c r="LB10" s="1">
        <v>2763.58</v>
      </c>
      <c r="LC10" s="1">
        <v>1597.76</v>
      </c>
      <c r="LD10" s="1">
        <v>22120.54</v>
      </c>
      <c r="LE10" s="1">
        <v>16518.97</v>
      </c>
      <c r="LF10" s="1">
        <v>1261.95</v>
      </c>
      <c r="LG10" s="1">
        <v>1715.21</v>
      </c>
      <c r="LH10" s="1">
        <v>10516.88</v>
      </c>
      <c r="LI10" s="1">
        <v>18038.240000000002</v>
      </c>
      <c r="LJ10" s="1">
        <v>18946.54</v>
      </c>
      <c r="LK10" s="1">
        <v>3204.1</v>
      </c>
      <c r="LL10" s="1">
        <v>3069.25</v>
      </c>
      <c r="LM10" s="1">
        <v>26565.24</v>
      </c>
      <c r="LN10" s="1">
        <v>5111.05</v>
      </c>
      <c r="LO10" s="1">
        <v>6171.55</v>
      </c>
      <c r="LP10" s="1">
        <v>23802.6</v>
      </c>
      <c r="LQ10" s="1">
        <v>5012.16</v>
      </c>
      <c r="LR10" s="1">
        <v>2537.09</v>
      </c>
      <c r="LS10" s="1">
        <v>22279.599999999999</v>
      </c>
      <c r="LT10" s="1">
        <v>4217.87</v>
      </c>
      <c r="LU10" s="1">
        <v>2537.1799999999998</v>
      </c>
      <c r="LV10" s="1">
        <v>16028.83</v>
      </c>
      <c r="LW10" s="1">
        <v>10063.08</v>
      </c>
      <c r="LX10" s="1">
        <v>13370.56</v>
      </c>
      <c r="LY10" s="1">
        <v>957.52</v>
      </c>
      <c r="LZ10" s="1">
        <v>23270.36</v>
      </c>
      <c r="MA10" s="1">
        <v>1114.6099999999999</v>
      </c>
      <c r="MB10" s="1">
        <v>14092.34</v>
      </c>
      <c r="MC10" s="1">
        <v>10111.82</v>
      </c>
      <c r="MD10" s="1">
        <v>2567.7199999999998</v>
      </c>
      <c r="ME10" s="1">
        <v>8338.99</v>
      </c>
      <c r="MF10" s="1">
        <v>2194.5700000000002</v>
      </c>
      <c r="MG10" s="1">
        <v>8914.59</v>
      </c>
      <c r="MH10" s="1">
        <v>3262.88</v>
      </c>
      <c r="MI10" s="1">
        <v>27325.03</v>
      </c>
      <c r="MJ10" s="1">
        <v>2049.1799999999998</v>
      </c>
      <c r="MK10" s="1">
        <v>4580.21</v>
      </c>
      <c r="ML10" s="1">
        <v>18705.8</v>
      </c>
      <c r="MM10" s="1">
        <v>2966.7</v>
      </c>
      <c r="MN10" s="1">
        <v>4905.13</v>
      </c>
      <c r="MO10" s="1">
        <v>3313.66</v>
      </c>
      <c r="MP10" s="1">
        <v>10521.12</v>
      </c>
      <c r="MQ10" s="1">
        <v>2874.34</v>
      </c>
      <c r="MR10" s="1">
        <v>22511.119999999999</v>
      </c>
      <c r="MS10" s="1">
        <v>9637.24</v>
      </c>
      <c r="MT10" s="1">
        <v>10402.48</v>
      </c>
      <c r="MU10" s="1">
        <v>24351.62</v>
      </c>
      <c r="MV10" s="1">
        <v>192.37</v>
      </c>
      <c r="MW10" s="1">
        <v>9469</v>
      </c>
      <c r="MX10" s="1">
        <v>5482.25</v>
      </c>
      <c r="MY10" s="1">
        <v>4035.58</v>
      </c>
      <c r="MZ10" s="1">
        <v>479.35</v>
      </c>
      <c r="NA10" s="1">
        <v>2959.93</v>
      </c>
      <c r="NB10" s="1">
        <v>14373.84</v>
      </c>
      <c r="NC10" s="1">
        <v>16604.400000000001</v>
      </c>
      <c r="ND10" s="1">
        <v>27438.51</v>
      </c>
      <c r="NE10" s="1">
        <v>13562.91</v>
      </c>
      <c r="NF10" s="1">
        <v>22284.89</v>
      </c>
      <c r="NG10" s="1">
        <v>9771.36</v>
      </c>
      <c r="NH10" s="1">
        <v>13032.62</v>
      </c>
      <c r="NI10" s="1">
        <v>7518.34</v>
      </c>
      <c r="NJ10" s="1">
        <v>6114.3</v>
      </c>
      <c r="NK10" s="1">
        <v>6604.44</v>
      </c>
      <c r="NL10" s="1">
        <v>5694.81</v>
      </c>
      <c r="NM10" s="1">
        <v>3474.94</v>
      </c>
      <c r="NN10" s="1">
        <v>3511.2</v>
      </c>
      <c r="NO10" s="1">
        <v>27089.88</v>
      </c>
      <c r="NP10" s="1">
        <v>3715.13</v>
      </c>
      <c r="NQ10" s="1">
        <v>4612.1099999999997</v>
      </c>
      <c r="NR10" s="1">
        <v>1389.23</v>
      </c>
      <c r="NS10" s="1">
        <v>2904.34</v>
      </c>
      <c r="NT10" s="1">
        <v>3044.34</v>
      </c>
      <c r="NU10" s="1">
        <v>7742.72</v>
      </c>
      <c r="NV10" s="1">
        <v>3731.7</v>
      </c>
      <c r="NW10" s="1">
        <v>3571.88</v>
      </c>
      <c r="NX10" s="1">
        <v>9353.2000000000007</v>
      </c>
      <c r="NY10" s="1">
        <v>5488.53</v>
      </c>
      <c r="NZ10" s="1">
        <v>24215.03</v>
      </c>
      <c r="OA10" s="1">
        <v>2065.81</v>
      </c>
      <c r="OB10" s="1">
        <v>16946.52</v>
      </c>
      <c r="OC10" s="1">
        <v>3962.65</v>
      </c>
      <c r="OD10" s="1">
        <v>21551.4</v>
      </c>
      <c r="OE10" s="1">
        <v>16298.88</v>
      </c>
      <c r="OF10" s="1">
        <v>1098.56</v>
      </c>
      <c r="OG10" s="1">
        <v>12008.82</v>
      </c>
      <c r="OH10" s="1">
        <v>7172.3</v>
      </c>
      <c r="OI10" s="1">
        <v>16228.85</v>
      </c>
      <c r="OJ10" s="1">
        <v>5369.58</v>
      </c>
      <c r="OK10" s="1">
        <v>14326.31</v>
      </c>
      <c r="OL10" s="1">
        <v>1923.29</v>
      </c>
      <c r="OM10" s="1">
        <v>16087.13</v>
      </c>
      <c r="ON10" s="1">
        <v>2332.19</v>
      </c>
      <c r="OO10" s="1">
        <v>11177.53</v>
      </c>
      <c r="OP10" s="1">
        <v>5069.16</v>
      </c>
      <c r="OQ10" s="1">
        <v>2044.41</v>
      </c>
      <c r="OR10" s="1">
        <v>23159.23</v>
      </c>
      <c r="OS10" s="1">
        <v>3344.9</v>
      </c>
      <c r="OT10" s="1">
        <v>6427.45</v>
      </c>
      <c r="OU10" s="1">
        <v>6473.92</v>
      </c>
      <c r="OV10" s="1">
        <v>6172.3</v>
      </c>
      <c r="OW10" s="1">
        <v>8409.6299999999992</v>
      </c>
      <c r="OX10" s="1">
        <v>10380.719999999999</v>
      </c>
      <c r="OY10" s="1">
        <v>1158.71</v>
      </c>
      <c r="OZ10" s="1">
        <v>4992.51</v>
      </c>
      <c r="PA10" s="1">
        <v>21278.560000000001</v>
      </c>
      <c r="PB10" s="1">
        <v>3354.81</v>
      </c>
      <c r="PC10" s="1">
        <v>28120.1</v>
      </c>
      <c r="PD10" s="1">
        <v>15014.03</v>
      </c>
      <c r="PE10" s="1">
        <v>732.19</v>
      </c>
      <c r="PF10" s="1">
        <v>1273.6099999999999</v>
      </c>
      <c r="PG10" s="1">
        <v>6570.38</v>
      </c>
      <c r="PH10" s="1">
        <v>30296.43</v>
      </c>
      <c r="PI10" s="1">
        <v>15583.46</v>
      </c>
      <c r="PJ10" s="1">
        <v>7656.83</v>
      </c>
      <c r="PK10" s="1">
        <v>10626.78</v>
      </c>
      <c r="PL10" s="1">
        <v>20986.74</v>
      </c>
      <c r="PM10" s="1">
        <v>4262.18</v>
      </c>
      <c r="PN10" s="1">
        <v>2004.99</v>
      </c>
      <c r="PO10" s="1">
        <v>28163.3</v>
      </c>
      <c r="PP10" s="1">
        <v>11461.59</v>
      </c>
      <c r="PQ10" s="1">
        <v>5446.44</v>
      </c>
      <c r="PR10" s="1">
        <v>14362</v>
      </c>
      <c r="PS10" s="1">
        <v>2799.1</v>
      </c>
      <c r="PT10" s="1">
        <v>10934.34</v>
      </c>
      <c r="PU10" s="1">
        <v>9568.27</v>
      </c>
      <c r="PV10" s="1">
        <v>19357.29</v>
      </c>
      <c r="PW10" s="1">
        <v>14022.99</v>
      </c>
      <c r="PX10" s="1">
        <v>3911.27</v>
      </c>
      <c r="PY10" s="1">
        <v>3397.56</v>
      </c>
      <c r="PZ10" s="1">
        <v>5254.56</v>
      </c>
      <c r="QA10" s="1">
        <v>24054.57</v>
      </c>
      <c r="QB10" s="1">
        <v>18539.05</v>
      </c>
      <c r="QC10" s="1">
        <v>7027.99</v>
      </c>
      <c r="QD10" s="1">
        <v>19979.150000000001</v>
      </c>
      <c r="QE10" s="1">
        <v>2633.24</v>
      </c>
      <c r="QF10" s="1">
        <v>13936.36</v>
      </c>
      <c r="QG10" s="1">
        <v>16180.04</v>
      </c>
      <c r="QH10" s="1">
        <v>14185.29</v>
      </c>
      <c r="QI10" s="1">
        <v>15416.8</v>
      </c>
      <c r="QJ10" s="1">
        <v>9330.09</v>
      </c>
      <c r="QK10" s="1">
        <v>1495.86</v>
      </c>
      <c r="QL10" s="1">
        <v>11573.53</v>
      </c>
      <c r="QM10" s="1">
        <v>22979.23</v>
      </c>
      <c r="QN10" s="1">
        <v>2748.46</v>
      </c>
      <c r="QO10" s="1">
        <v>6431.29</v>
      </c>
      <c r="QP10" s="1">
        <v>7403.3</v>
      </c>
      <c r="QQ10" s="1">
        <v>26654.75</v>
      </c>
      <c r="QR10" s="1">
        <v>6230.08</v>
      </c>
      <c r="QS10" s="1">
        <v>400.84</v>
      </c>
      <c r="QT10" s="1">
        <v>2683.62</v>
      </c>
      <c r="QU10" s="1">
        <v>2080.35</v>
      </c>
      <c r="QV10" s="1">
        <v>8807.36</v>
      </c>
      <c r="QW10" s="1">
        <v>447.52</v>
      </c>
      <c r="QX10" s="1">
        <v>1886.21</v>
      </c>
      <c r="QY10" s="1">
        <v>22638.240000000002</v>
      </c>
      <c r="QZ10" s="1">
        <v>11933.05</v>
      </c>
      <c r="RA10" s="1">
        <v>14462.55</v>
      </c>
      <c r="RB10" s="1">
        <v>18740.41</v>
      </c>
      <c r="RC10" s="1">
        <v>1145.47</v>
      </c>
      <c r="RD10" s="1">
        <v>21493.16</v>
      </c>
      <c r="RE10" s="1">
        <v>11354.63</v>
      </c>
      <c r="RF10" s="1">
        <v>10893.61</v>
      </c>
      <c r="RG10" s="1">
        <v>1426.51</v>
      </c>
      <c r="RH10" s="1">
        <v>11990.35</v>
      </c>
      <c r="RI10" s="1">
        <v>5592.32</v>
      </c>
      <c r="RJ10" s="1">
        <v>5924.8</v>
      </c>
      <c r="RK10" s="1">
        <v>3187.82</v>
      </c>
      <c r="RL10" s="1">
        <v>2186.1799999999998</v>
      </c>
      <c r="RM10" s="1">
        <v>4309.5</v>
      </c>
      <c r="RN10" s="1">
        <v>9284.08</v>
      </c>
      <c r="RO10" s="1">
        <v>12164.54</v>
      </c>
      <c r="RP10" s="1">
        <v>1734.45</v>
      </c>
      <c r="RQ10" s="1">
        <v>26542.62</v>
      </c>
      <c r="RR10" s="1">
        <v>2201.23</v>
      </c>
      <c r="RS10" s="1">
        <v>6981.93</v>
      </c>
      <c r="RT10" s="1">
        <v>8803.65</v>
      </c>
      <c r="RU10" s="1">
        <v>281.8</v>
      </c>
      <c r="RV10" s="1">
        <v>19280.29</v>
      </c>
      <c r="RW10" s="1">
        <v>15893.14</v>
      </c>
      <c r="RX10" s="1">
        <v>3909.72</v>
      </c>
      <c r="RY10" s="1">
        <v>1557.8</v>
      </c>
      <c r="RZ10" s="1">
        <v>9765.19</v>
      </c>
      <c r="SA10" s="1">
        <v>2515.5500000000002</v>
      </c>
      <c r="SB10" s="1">
        <v>4787.5200000000004</v>
      </c>
      <c r="SC10" s="1">
        <v>5418.77</v>
      </c>
      <c r="SD10" s="1">
        <v>6437.75</v>
      </c>
      <c r="SE10" s="1">
        <v>15770.81</v>
      </c>
      <c r="SF10" s="1">
        <v>4695.08</v>
      </c>
      <c r="SG10" s="1">
        <v>1945.74</v>
      </c>
    </row>
    <row r="13" spans="1:501" x14ac:dyDescent="0.3">
      <c r="A13" s="3" t="s">
        <v>0</v>
      </c>
    </row>
    <row r="14" spans="1:501" x14ac:dyDescent="0.3">
      <c r="A14" s="3" t="s">
        <v>1</v>
      </c>
    </row>
    <row r="15" spans="1:501" x14ac:dyDescent="0.3">
      <c r="A15" s="3" t="s">
        <v>2</v>
      </c>
    </row>
    <row r="16" spans="1:501" x14ac:dyDescent="0.3">
      <c r="A16" s="3" t="s">
        <v>3</v>
      </c>
    </row>
    <row r="17" spans="1:1" x14ac:dyDescent="0.3">
      <c r="A17" s="3" t="s">
        <v>4</v>
      </c>
    </row>
    <row r="18" spans="1:1" x14ac:dyDescent="0.3">
      <c r="A18" s="3" t="s">
        <v>5</v>
      </c>
    </row>
    <row r="19" spans="1:1" x14ac:dyDescent="0.3">
      <c r="A19" s="3" t="s">
        <v>6</v>
      </c>
    </row>
    <row r="20" spans="1:1" x14ac:dyDescent="0.3">
      <c r="A20" s="3" t="s">
        <v>7</v>
      </c>
    </row>
    <row r="21" spans="1:1" x14ac:dyDescent="0.3">
      <c r="A21" s="3" t="s">
        <v>8</v>
      </c>
    </row>
    <row r="22" spans="1:1" x14ac:dyDescent="0.3">
      <c r="A22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XLOOKUP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Chandni Saha</cp:lastModifiedBy>
  <dcterms:created xsi:type="dcterms:W3CDTF">2025-11-28T09:29:24Z</dcterms:created>
  <dcterms:modified xsi:type="dcterms:W3CDTF">2026-08-14T11:12:06Z</dcterms:modified>
</cp:coreProperties>
</file>