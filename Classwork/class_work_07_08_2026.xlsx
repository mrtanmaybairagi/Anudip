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7E0D65CD-EBD9-4055-893A-E12AEB0E6A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1" sheetId="1" r:id="rId1"/>
    <sheet name="A2" sheetId="3" r:id="rId2"/>
    <sheet name="A3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" i="3" l="1"/>
  <c r="G14" i="3"/>
  <c r="F11" i="3"/>
  <c r="F9" i="3"/>
  <c r="F8" i="3"/>
  <c r="G12" i="4"/>
  <c r="G14" i="4"/>
  <c r="G13" i="4"/>
  <c r="D11" i="4"/>
  <c r="H7" i="4"/>
  <c r="H5" i="4"/>
  <c r="H10" i="1"/>
  <c r="H9" i="1"/>
  <c r="J5" i="1"/>
  <c r="J4" i="1"/>
  <c r="J3" i="1"/>
  <c r="J2" i="1"/>
</calcChain>
</file>

<file path=xl/sharedStrings.xml><?xml version="1.0" encoding="utf-8"?>
<sst xmlns="http://schemas.openxmlformats.org/spreadsheetml/2006/main" count="96" uniqueCount="82">
  <si>
    <t>Emp ID</t>
  </si>
  <si>
    <t>Name</t>
  </si>
  <si>
    <t>Department</t>
  </si>
  <si>
    <t>Salary</t>
  </si>
  <si>
    <t>City</t>
  </si>
  <si>
    <t>E101</t>
  </si>
  <si>
    <t>Amit</t>
  </si>
  <si>
    <t>HR</t>
  </si>
  <si>
    <t>Delhi</t>
  </si>
  <si>
    <t>1. Find the Name of employee with Emp ID E104 using VLOOKUP</t>
  </si>
  <si>
    <t>E102</t>
  </si>
  <si>
    <t>Neha</t>
  </si>
  <si>
    <t>IT</t>
  </si>
  <si>
    <t>Mumbai</t>
  </si>
  <si>
    <t>2. Find the Department of employee E103</t>
  </si>
  <si>
    <t>E103</t>
  </si>
  <si>
    <t>Rahul</t>
  </si>
  <si>
    <t>Finance</t>
  </si>
  <si>
    <t>Kolkata</t>
  </si>
  <si>
    <t>3. Find the Salary of employee E108</t>
  </si>
  <si>
    <t>E104</t>
  </si>
  <si>
    <t>Priya</t>
  </si>
  <si>
    <t>Bangalore</t>
  </si>
  <si>
    <t>4. Find the City of employee E105</t>
  </si>
  <si>
    <t>E105</t>
  </si>
  <si>
    <t>Arjun</t>
  </si>
  <si>
    <t>Marketing</t>
  </si>
  <si>
    <t>Pune</t>
  </si>
  <si>
    <t>E106</t>
  </si>
  <si>
    <t>Riya</t>
  </si>
  <si>
    <t>E107</t>
  </si>
  <si>
    <t>Karan</t>
  </si>
  <si>
    <t>Enter Emp ID:</t>
  </si>
  <si>
    <t>E108</t>
  </si>
  <si>
    <t>Sneha</t>
  </si>
  <si>
    <t>Chennai</t>
  </si>
  <si>
    <t>5. Retrieve Salary:</t>
  </si>
  <si>
    <t>6. Retrieve Department:</t>
  </si>
  <si>
    <t>Student Course Dataset</t>
  </si>
  <si>
    <t>ID</t>
  </si>
  <si>
    <t>Course</t>
  </si>
  <si>
    <t>Fees</t>
  </si>
  <si>
    <t>1. Retrieve Course name for C103:</t>
  </si>
  <si>
    <t>C101</t>
  </si>
  <si>
    <t>Rohan</t>
  </si>
  <si>
    <t>Excel</t>
  </si>
  <si>
    <t>C102</t>
  </si>
  <si>
    <t>Ananya</t>
  </si>
  <si>
    <t>Power BI</t>
  </si>
  <si>
    <t>2. Retrieve Fees for C104:</t>
  </si>
  <si>
    <t>C103</t>
  </si>
  <si>
    <t>Vikram</t>
  </si>
  <si>
    <t>SQL</t>
  </si>
  <si>
    <t>C104</t>
  </si>
  <si>
    <t>Python</t>
  </si>
  <si>
    <t>C105</t>
  </si>
  <si>
    <t>Aman</t>
  </si>
  <si>
    <t>Tableau</t>
  </si>
  <si>
    <t>Enter Course ID:</t>
  </si>
  <si>
    <t>Total Fees</t>
  </si>
  <si>
    <t>3. Display Name:</t>
  </si>
  <si>
    <t>4. Display Fees:</t>
  </si>
  <si>
    <t xml:space="preserve">   Display Course:</t>
  </si>
  <si>
    <t>Product ID</t>
  </si>
  <si>
    <t>P101</t>
  </si>
  <si>
    <t>P102</t>
  </si>
  <si>
    <t>P103</t>
  </si>
  <si>
    <t>P104</t>
  </si>
  <si>
    <t>P105</t>
  </si>
  <si>
    <t>Product name</t>
  </si>
  <si>
    <t>Laptop</t>
  </si>
  <si>
    <t>Mouse</t>
  </si>
  <si>
    <t>Keyboard</t>
  </si>
  <si>
    <t>Monitor</t>
  </si>
  <si>
    <t>Printer</t>
  </si>
  <si>
    <t>Stock</t>
  </si>
  <si>
    <t xml:space="preserve">1. Find the price of product P103 using HLOOKUP </t>
  </si>
  <si>
    <t>Price</t>
  </si>
  <si>
    <t>2. Find the stock of P104</t>
  </si>
  <si>
    <t>3. Retrieve product name of P101</t>
  </si>
  <si>
    <t>4.If Product ID is entered in any cell, return the Price.</t>
  </si>
  <si>
    <t>5. If Product ID is entered in any cell, retum the Stock.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</si>
</sst>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#,##0;\(&quot;₹&quot;#,##0\);&quot;-&quot;"/>
    <numFmt numFmtId="165" formatCode="&quot;₹&quot;#,##0"/>
    <numFmt numFmtId="166" formatCode="\$#,##0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1F4E79"/>
      <name val="Calibri"/>
      <family val="2"/>
    </font>
    <font>
      <b/>
      <sz val="14"/>
      <color rgb="FF1F4E79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1" xfId="0" applyFont="1" applyBorder="1"/>
    <xf numFmtId="164" fontId="2" fillId="0" borderId="1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/>
    <xf numFmtId="0" fontId="3" fillId="3" borderId="1" xfId="0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66" fontId="2" fillId="0" borderId="1" xfId="0" applyNumberFormat="1" applyFont="1" applyBorder="1" applyAlignment="1">
      <alignment horizontal="right"/>
    </xf>
    <xf numFmtId="166" fontId="3" fillId="0" borderId="1" xfId="0" applyNumberFormat="1" applyFont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4" fillId="4" borderId="1" xfId="0" applyFont="1" applyFill="1" applyBorder="1" applyAlignment="1">
      <alignment horizontal="center"/>
    </xf>
    <xf numFmtId="0" fontId="6" fillId="0" borderId="1" xfId="0" applyFont="1" applyBorder="1"/>
    <xf numFmtId="0" fontId="7" fillId="0" borderId="1" xfId="0" applyFont="1" applyBorder="1" applyAlignment="1">
      <alignment horizontal="center"/>
    </xf>
    <xf numFmtId="166" fontId="3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/>
    <xf numFmtId="0" fontId="0" fillId="0" borderId="0" xfId="0"/>
    <xf numFmtId="0" fontId="4" fillId="3" borderId="0" xfId="0" applyFont="1" applyFill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/>
    <xf numFmtId="0" fontId="2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8" fillId="0" borderId="1" xfId="0" applyFont="1" applyBorder="1"/>
    <xf numFmtId="0" fontId="8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H8" sqref="H8"/>
    </sheetView>
  </sheetViews>
  <sheetFormatPr defaultRowHeight="14.4" x14ac:dyDescent="0.3"/>
  <cols>
    <col min="1" max="1" width="12" customWidth="1"/>
    <col min="2" max="5" width="16" customWidth="1"/>
    <col min="6" max="6" width="4" customWidth="1"/>
    <col min="7" max="7" width="38" customWidth="1"/>
    <col min="8" max="8" width="18" customWidth="1"/>
    <col min="9" max="9" width="15" customWidth="1"/>
    <col min="10" max="10" width="18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32"/>
      <c r="H1" s="33"/>
      <c r="I1" s="33"/>
      <c r="J1" s="33"/>
    </row>
    <row r="2" spans="1:10" x14ac:dyDescent="0.3">
      <c r="A2" s="2" t="s">
        <v>5</v>
      </c>
      <c r="B2" s="2" t="s">
        <v>6</v>
      </c>
      <c r="C2" s="2" t="s">
        <v>7</v>
      </c>
      <c r="D2" s="3">
        <v>35000</v>
      </c>
      <c r="E2" s="2" t="s">
        <v>8</v>
      </c>
      <c r="G2" s="34" t="s">
        <v>9</v>
      </c>
      <c r="H2" s="33"/>
      <c r="I2" s="33"/>
      <c r="J2" s="6" t="str">
        <f>VLOOKUP("E104", A2:E9, 2, FALSE)</f>
        <v>Priya</v>
      </c>
    </row>
    <row r="3" spans="1:10" x14ac:dyDescent="0.3">
      <c r="A3" s="2" t="s">
        <v>10</v>
      </c>
      <c r="B3" s="2" t="s">
        <v>11</v>
      </c>
      <c r="C3" s="2" t="s">
        <v>12</v>
      </c>
      <c r="D3" s="3">
        <v>50000</v>
      </c>
      <c r="E3" s="2" t="s">
        <v>13</v>
      </c>
      <c r="G3" s="34" t="s">
        <v>14</v>
      </c>
      <c r="H3" s="33"/>
      <c r="I3" s="33"/>
      <c r="J3" s="6" t="str">
        <f>VLOOKUP("E103", A2:E9, 3, FALSE)</f>
        <v>Finance</v>
      </c>
    </row>
    <row r="4" spans="1:10" x14ac:dyDescent="0.3">
      <c r="A4" s="2" t="s">
        <v>15</v>
      </c>
      <c r="B4" s="2" t="s">
        <v>16</v>
      </c>
      <c r="C4" s="2" t="s">
        <v>17</v>
      </c>
      <c r="D4" s="3">
        <v>45000</v>
      </c>
      <c r="E4" s="2" t="s">
        <v>18</v>
      </c>
      <c r="G4" s="34" t="s">
        <v>19</v>
      </c>
      <c r="H4" s="33"/>
      <c r="I4" s="33"/>
      <c r="J4" s="7">
        <f>VLOOKUP("E108", A2:E9, 4, FALSE)</f>
        <v>42000</v>
      </c>
    </row>
    <row r="5" spans="1:10" x14ac:dyDescent="0.3">
      <c r="A5" s="2" t="s">
        <v>20</v>
      </c>
      <c r="B5" s="2" t="s">
        <v>21</v>
      </c>
      <c r="C5" s="2" t="s">
        <v>12</v>
      </c>
      <c r="D5" s="3">
        <v>52000</v>
      </c>
      <c r="E5" s="2" t="s">
        <v>22</v>
      </c>
      <c r="G5" s="34" t="s">
        <v>23</v>
      </c>
      <c r="H5" s="33"/>
      <c r="I5" s="33"/>
      <c r="J5" s="6" t="str">
        <f>VLOOKUP("E105", A2:E9, 5, FALSE)</f>
        <v>Pune</v>
      </c>
    </row>
    <row r="6" spans="1:10" x14ac:dyDescent="0.3">
      <c r="A6" s="2" t="s">
        <v>24</v>
      </c>
      <c r="B6" s="2" t="s">
        <v>25</v>
      </c>
      <c r="C6" s="2" t="s">
        <v>26</v>
      </c>
      <c r="D6" s="3">
        <v>40000</v>
      </c>
      <c r="E6" s="2" t="s">
        <v>27</v>
      </c>
    </row>
    <row r="7" spans="1:10" x14ac:dyDescent="0.3">
      <c r="A7" s="2" t="s">
        <v>28</v>
      </c>
      <c r="B7" s="2" t="s">
        <v>29</v>
      </c>
      <c r="C7" s="2" t="s">
        <v>7</v>
      </c>
      <c r="D7" s="3">
        <v>36000</v>
      </c>
      <c r="E7" s="2" t="s">
        <v>8</v>
      </c>
      <c r="G7" s="35"/>
      <c r="H7" s="33"/>
      <c r="I7" s="33"/>
      <c r="J7" s="33"/>
    </row>
    <row r="8" spans="1:10" x14ac:dyDescent="0.3">
      <c r="A8" s="2" t="s">
        <v>30</v>
      </c>
      <c r="B8" s="2" t="s">
        <v>31</v>
      </c>
      <c r="C8" s="2" t="s">
        <v>17</v>
      </c>
      <c r="D8" s="3">
        <v>47000</v>
      </c>
      <c r="E8" s="2" t="s">
        <v>13</v>
      </c>
      <c r="G8" s="8" t="s">
        <v>32</v>
      </c>
      <c r="H8" s="9" t="s">
        <v>15</v>
      </c>
      <c r="I8" s="5"/>
      <c r="J8" s="5"/>
    </row>
    <row r="9" spans="1:10" x14ac:dyDescent="0.3">
      <c r="A9" s="2" t="s">
        <v>33</v>
      </c>
      <c r="B9" s="2" t="s">
        <v>34</v>
      </c>
      <c r="C9" s="2" t="s">
        <v>26</v>
      </c>
      <c r="D9" s="3">
        <v>42000</v>
      </c>
      <c r="E9" s="2" t="s">
        <v>35</v>
      </c>
      <c r="G9" s="2" t="s">
        <v>36</v>
      </c>
      <c r="H9" s="10">
        <f>IFERROR(VLOOKUP(H8, A2:E9, 4, FALSE), "Select Valid ID")</f>
        <v>45000</v>
      </c>
      <c r="I9" s="5"/>
      <c r="J9" s="5"/>
    </row>
    <row r="10" spans="1:10" x14ac:dyDescent="0.3">
      <c r="G10" s="2" t="s">
        <v>37</v>
      </c>
      <c r="H10" s="11" t="str">
        <f>IFERROR(VLOOKUP(H8, A2:E9, 3, FALSE), "Select Valid ID")</f>
        <v>Finance</v>
      </c>
      <c r="I10" s="5"/>
      <c r="J10" s="5"/>
    </row>
  </sheetData>
  <mergeCells count="6">
    <mergeCell ref="G1:J1"/>
    <mergeCell ref="G2:I2"/>
    <mergeCell ref="G5:I5"/>
    <mergeCell ref="G4:I4"/>
    <mergeCell ref="G7:J7"/>
    <mergeCell ref="G3:I3"/>
  </mergeCells>
  <dataValidations count="1">
    <dataValidation type="list" allowBlank="1" sqref="H8" xr:uid="{00000000-0002-0000-0000-000000000000}">
      <formula1>$A$2:$A$9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805A7-9B8F-4627-AE2A-4C2D9E5F2E78}">
  <dimension ref="A1:G15"/>
  <sheetViews>
    <sheetView workbookViewId="0">
      <selection activeCell="F22" sqref="F22"/>
    </sheetView>
  </sheetViews>
  <sheetFormatPr defaultRowHeight="14.4" x14ac:dyDescent="0.3"/>
  <cols>
    <col min="1" max="1" width="12.33203125" bestFit="1" customWidth="1"/>
    <col min="6" max="6" width="9.88671875" bestFit="1" customWidth="1"/>
  </cols>
  <sheetData>
    <row r="1" spans="1:7" x14ac:dyDescent="0.3">
      <c r="A1" s="36" t="s">
        <v>63</v>
      </c>
      <c r="B1" s="5" t="s">
        <v>64</v>
      </c>
      <c r="C1" s="5" t="s">
        <v>65</v>
      </c>
      <c r="D1" s="5" t="s">
        <v>66</v>
      </c>
      <c r="E1" s="5" t="s">
        <v>67</v>
      </c>
      <c r="F1" s="5" t="s">
        <v>68</v>
      </c>
    </row>
    <row r="2" spans="1:7" x14ac:dyDescent="0.3">
      <c r="A2" s="36" t="s">
        <v>69</v>
      </c>
      <c r="B2" s="5" t="s">
        <v>70</v>
      </c>
      <c r="C2" s="5" t="s">
        <v>71</v>
      </c>
      <c r="D2" s="5" t="s">
        <v>72</v>
      </c>
      <c r="E2" s="5" t="s">
        <v>73</v>
      </c>
      <c r="F2" s="5" t="s">
        <v>74</v>
      </c>
    </row>
    <row r="3" spans="1:7" x14ac:dyDescent="0.3">
      <c r="A3" s="36" t="s">
        <v>77</v>
      </c>
      <c r="B3" s="5">
        <v>55000</v>
      </c>
      <c r="C3" s="5">
        <v>500</v>
      </c>
      <c r="D3" s="5">
        <v>1200</v>
      </c>
      <c r="E3" s="5">
        <v>9000</v>
      </c>
      <c r="F3" s="5">
        <v>7000</v>
      </c>
    </row>
    <row r="4" spans="1:7" x14ac:dyDescent="0.3">
      <c r="A4" s="36" t="s">
        <v>75</v>
      </c>
      <c r="B4" s="5">
        <v>25</v>
      </c>
      <c r="C4" s="5">
        <v>150</v>
      </c>
      <c r="D4" s="5">
        <v>80</v>
      </c>
      <c r="E4" s="5">
        <v>40</v>
      </c>
      <c r="F4" s="5">
        <v>35</v>
      </c>
    </row>
    <row r="8" spans="1:7" x14ac:dyDescent="0.3">
      <c r="A8" s="5" t="s">
        <v>76</v>
      </c>
      <c r="B8" s="5"/>
      <c r="C8" s="5"/>
      <c r="D8" s="5"/>
      <c r="E8" s="5"/>
      <c r="F8" s="5">
        <f>HLOOKUP("P103",A1:F4,3,0)</f>
        <v>1200</v>
      </c>
      <c r="G8" s="5"/>
    </row>
    <row r="9" spans="1:7" x14ac:dyDescent="0.3">
      <c r="A9" s="5" t="s">
        <v>78</v>
      </c>
      <c r="B9" s="5"/>
      <c r="C9" s="5"/>
      <c r="D9" s="5"/>
      <c r="E9" s="5"/>
      <c r="F9" s="5">
        <f>HLOOKUP("P104",A1:F4,4,0)</f>
        <v>40</v>
      </c>
      <c r="G9" s="5"/>
    </row>
    <row r="10" spans="1:7" x14ac:dyDescent="0.3">
      <c r="A10" s="5"/>
      <c r="B10" s="5"/>
      <c r="C10" s="5"/>
      <c r="D10" s="5"/>
      <c r="E10" s="5"/>
      <c r="F10" s="5"/>
      <c r="G10" s="5"/>
    </row>
    <row r="11" spans="1:7" x14ac:dyDescent="0.3">
      <c r="A11" s="5" t="s">
        <v>79</v>
      </c>
      <c r="B11" s="5"/>
      <c r="C11" s="5"/>
      <c r="D11" s="5"/>
      <c r="E11" s="5"/>
      <c r="F11" s="5" t="str">
        <f>HLOOKUP("P101",A1:F4,2,0)</f>
        <v>Laptop</v>
      </c>
      <c r="G11" s="5"/>
    </row>
    <row r="12" spans="1:7" x14ac:dyDescent="0.3">
      <c r="A12" s="5"/>
      <c r="B12" s="5"/>
      <c r="C12" s="5"/>
      <c r="D12" s="5"/>
      <c r="E12" s="5"/>
      <c r="F12" s="5"/>
      <c r="G12" s="5"/>
    </row>
    <row r="13" spans="1:7" x14ac:dyDescent="0.3">
      <c r="A13" s="5" t="s">
        <v>80</v>
      </c>
      <c r="B13" s="5"/>
      <c r="C13" s="5"/>
      <c r="D13" s="5"/>
      <c r="E13" s="5"/>
      <c r="F13" s="36" t="s">
        <v>63</v>
      </c>
      <c r="G13" s="37" t="s">
        <v>66</v>
      </c>
    </row>
    <row r="14" spans="1:7" x14ac:dyDescent="0.3">
      <c r="A14" s="5"/>
      <c r="B14" s="5"/>
      <c r="C14" s="5"/>
      <c r="D14" s="5"/>
      <c r="E14" s="5"/>
      <c r="F14" s="36" t="s">
        <v>77</v>
      </c>
      <c r="G14" s="37">
        <f>HLOOKUP(G13,A1:F4,3,0)</f>
        <v>1200</v>
      </c>
    </row>
    <row r="15" spans="1:7" x14ac:dyDescent="0.3">
      <c r="A15" s="5" t="s">
        <v>81</v>
      </c>
      <c r="B15" s="5"/>
      <c r="C15" s="5"/>
      <c r="D15" s="5"/>
      <c r="E15" s="5"/>
      <c r="F15" s="36" t="s">
        <v>75</v>
      </c>
      <c r="G15" s="37">
        <f>HLOOKUP(G13,A1:F4,4,0)</f>
        <v>80</v>
      </c>
    </row>
  </sheetData>
  <dataValidations count="1">
    <dataValidation type="list" allowBlank="1" showInputMessage="1" showErrorMessage="1" sqref="G13" xr:uid="{BF910685-C64B-4F95-976B-2192945CFF44}">
      <formula1>$B$1:$F$1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3BB77-D7B9-451C-8216-21785191FF7D}">
  <dimension ref="A2:K14"/>
  <sheetViews>
    <sheetView workbookViewId="0">
      <selection activeCell="F21" sqref="F21"/>
    </sheetView>
  </sheetViews>
  <sheetFormatPr defaultRowHeight="14.4" x14ac:dyDescent="0.3"/>
  <cols>
    <col min="1" max="1" width="10" customWidth="1"/>
    <col min="2" max="3" width="16" customWidth="1"/>
    <col min="4" max="4" width="14" customWidth="1"/>
    <col min="5" max="5" width="5" customWidth="1"/>
    <col min="6" max="6" width="32" customWidth="1"/>
    <col min="7" max="8" width="18" customWidth="1"/>
  </cols>
  <sheetData>
    <row r="2" spans="1:11" ht="18" x14ac:dyDescent="0.35">
      <c r="A2" s="26" t="s">
        <v>38</v>
      </c>
      <c r="B2" s="27"/>
      <c r="C2" s="27"/>
      <c r="D2" s="27"/>
      <c r="F2" s="26"/>
      <c r="G2" s="27"/>
      <c r="H2" s="27"/>
      <c r="I2" s="27"/>
      <c r="J2" s="27"/>
      <c r="K2" s="27"/>
    </row>
    <row r="5" spans="1:11" x14ac:dyDescent="0.3">
      <c r="A5" s="12" t="s">
        <v>39</v>
      </c>
      <c r="B5" s="4" t="s">
        <v>1</v>
      </c>
      <c r="C5" s="4" t="s">
        <v>40</v>
      </c>
      <c r="D5" s="13" t="s">
        <v>41</v>
      </c>
      <c r="F5" s="20" t="s">
        <v>42</v>
      </c>
      <c r="G5" s="5"/>
      <c r="H5" s="19" t="str">
        <f>VLOOKUP("C103", A6:D10, 3, FALSE)</f>
        <v>SQL</v>
      </c>
    </row>
    <row r="6" spans="1:11" x14ac:dyDescent="0.3">
      <c r="A6" s="14" t="s">
        <v>43</v>
      </c>
      <c r="B6" s="15" t="s">
        <v>44</v>
      </c>
      <c r="C6" s="15" t="s">
        <v>45</v>
      </c>
      <c r="D6" s="16">
        <v>3000</v>
      </c>
      <c r="H6" s="25"/>
    </row>
    <row r="7" spans="1:11" x14ac:dyDescent="0.3">
      <c r="A7" s="14" t="s">
        <v>46</v>
      </c>
      <c r="B7" s="15" t="s">
        <v>47</v>
      </c>
      <c r="C7" s="15" t="s">
        <v>48</v>
      </c>
      <c r="D7" s="16">
        <v>5000</v>
      </c>
      <c r="F7" s="20" t="s">
        <v>49</v>
      </c>
      <c r="G7" s="5"/>
      <c r="H7" s="24">
        <f>VLOOKUP("C104", A6:D10, 4, FALSE)</f>
        <v>6000</v>
      </c>
    </row>
    <row r="8" spans="1:11" x14ac:dyDescent="0.3">
      <c r="A8" s="14" t="s">
        <v>50</v>
      </c>
      <c r="B8" s="15" t="s">
        <v>51</v>
      </c>
      <c r="C8" s="15" t="s">
        <v>52</v>
      </c>
      <c r="D8" s="16">
        <v>4000</v>
      </c>
    </row>
    <row r="9" spans="1:11" x14ac:dyDescent="0.3">
      <c r="A9" s="14" t="s">
        <v>53</v>
      </c>
      <c r="B9" s="15" t="s">
        <v>11</v>
      </c>
      <c r="C9" s="15" t="s">
        <v>54</v>
      </c>
      <c r="D9" s="16">
        <v>6000</v>
      </c>
      <c r="F9" s="28"/>
      <c r="G9" s="27"/>
      <c r="H9" s="27"/>
      <c r="I9" s="27"/>
      <c r="J9" s="27"/>
      <c r="K9" s="27"/>
    </row>
    <row r="10" spans="1:11" x14ac:dyDescent="0.3">
      <c r="A10" s="14" t="s">
        <v>55</v>
      </c>
      <c r="B10" s="15" t="s">
        <v>56</v>
      </c>
      <c r="C10" s="15" t="s">
        <v>57</v>
      </c>
      <c r="D10" s="16">
        <v>4500</v>
      </c>
      <c r="F10" s="20" t="s">
        <v>58</v>
      </c>
      <c r="G10" s="21" t="s">
        <v>46</v>
      </c>
    </row>
    <row r="11" spans="1:11" x14ac:dyDescent="0.3">
      <c r="A11" s="29" t="s">
        <v>59</v>
      </c>
      <c r="B11" s="30"/>
      <c r="C11" s="31"/>
      <c r="D11" s="17">
        <f>SUM(D6:D10)</f>
        <v>22500</v>
      </c>
      <c r="F11" s="5"/>
      <c r="G11" s="18"/>
    </row>
    <row r="12" spans="1:11" x14ac:dyDescent="0.3">
      <c r="F12" s="2" t="s">
        <v>60</v>
      </c>
      <c r="G12" s="19" t="str">
        <f>IF(G10="","",IFERROR(VLOOKUP(G10, A6:D10, 2, FALSE), "Invalid ID"))</f>
        <v>Ananya</v>
      </c>
    </row>
    <row r="13" spans="1:11" x14ac:dyDescent="0.3">
      <c r="F13" s="2" t="s">
        <v>61</v>
      </c>
      <c r="G13" s="24">
        <f>IF(G10="","",IFERROR(VLOOKUP(G10, A6:D10, 4, FALSE), "Invalid ID"))</f>
        <v>5000</v>
      </c>
    </row>
    <row r="14" spans="1:11" x14ac:dyDescent="0.3">
      <c r="F14" s="22" t="s">
        <v>62</v>
      </c>
      <c r="G14" s="23" t="str">
        <f>IF(G10="","",IFERROR(VLOOKUP(G10, A6:D10, 3, FALSE), "Invalid ID"))</f>
        <v>Power BI</v>
      </c>
    </row>
  </sheetData>
  <mergeCells count="4">
    <mergeCell ref="A2:D2"/>
    <mergeCell ref="F2:K2"/>
    <mergeCell ref="F9:K9"/>
    <mergeCell ref="A11:C11"/>
  </mergeCells>
  <dataValidations count="1">
    <dataValidation type="list" allowBlank="1" sqref="G10" xr:uid="{65224695-EC01-430D-83BC-9473386E0C8D}">
      <formula1>"C101,C102,C103,C104,C105"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A1</vt:lpstr>
      <vt:lpstr>A2</vt:lpstr>
      <vt:lpstr>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Chandni Saha</cp:lastModifiedBy>
  <dcterms:created xsi:type="dcterms:W3CDTF">2026-08-07T08:48:57Z</dcterms:created>
  <dcterms:modified xsi:type="dcterms:W3CDTF">2026-08-07T09:27:46Z</dcterms:modified>
</cp:coreProperties>
</file>