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nudip\Class Work\"/>
    </mc:Choice>
  </mc:AlternateContent>
  <xr:revisionPtr revIDLastSave="0" documentId="13_ncr:1_{97E1A0EB-1E50-49AF-B296-E4F628392A84}" xr6:coauthVersionLast="47" xr6:coauthVersionMax="47" xr10:uidLastSave="{00000000-0000-0000-0000-000000000000}"/>
  <bookViews>
    <workbookView xWindow="-108" yWindow="-108" windowWidth="23256" windowHeight="12576" xr2:uid="{B275022F-1C1C-4C40-87FB-494BA723265E}"/>
  </bookViews>
  <sheets>
    <sheet name="Class Work" sheetId="1" r:id="rId1"/>
    <sheet name="Tas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S2" i="1"/>
  <c r="X2" i="1"/>
  <c r="W2" i="1"/>
  <c r="V2" i="1"/>
  <c r="U2" i="1"/>
  <c r="T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/>
  <c r="Q11" i="1" a="1"/>
  <c r="Q11" i="1" s="1"/>
  <c r="Q12" i="1" a="1"/>
  <c r="Q12" i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/>
  <c r="Q139" i="1" a="1"/>
  <c r="Q139" i="1" s="1"/>
  <c r="Q140" i="1" a="1"/>
  <c r="Q140" i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/>
  <c r="Q157" i="1" a="1"/>
  <c r="Q157" i="1" s="1"/>
  <c r="Q158" i="1" a="1"/>
  <c r="Q158" i="1"/>
  <c r="Q159" i="1" a="1"/>
  <c r="Q159" i="1" s="1"/>
  <c r="Q160" i="1" a="1"/>
  <c r="Q160" i="1" s="1"/>
  <c r="Q161" i="1" a="1"/>
  <c r="Q161" i="1" s="1"/>
  <c r="Q162" i="1" a="1"/>
  <c r="Q162" i="1"/>
  <c r="Q163" i="1" a="1"/>
  <c r="Q163" i="1" s="1"/>
  <c r="Q164" i="1" a="1"/>
  <c r="Q164" i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/>
  <c r="Q185" i="1" a="1"/>
  <c r="Q185" i="1" s="1"/>
  <c r="Q186" i="1" a="1"/>
  <c r="Q186" i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/>
  <c r="Q243" i="1" a="1"/>
  <c r="Q243" i="1" s="1"/>
  <c r="Q244" i="1" a="1"/>
  <c r="Q244" i="1"/>
  <c r="Q245" i="1" a="1"/>
  <c r="Q245" i="1" s="1"/>
  <c r="Q246" i="1" a="1"/>
  <c r="Q246" i="1" s="1"/>
  <c r="Q247" i="1" a="1"/>
  <c r="Q247" i="1" s="1"/>
  <c r="Q248" i="1" a="1"/>
  <c r="Q248" i="1"/>
  <c r="Q249" i="1" a="1"/>
  <c r="Q249" i="1" s="1"/>
  <c r="Q250" i="1" a="1"/>
  <c r="Q250" i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/>
  <c r="Q299" i="1" a="1"/>
  <c r="Q299" i="1" s="1"/>
  <c r="Q300" i="1" a="1"/>
  <c r="Q300" i="1"/>
  <c r="Q301" i="1" a="1"/>
  <c r="Q301" i="1" s="1"/>
  <c r="Q302" i="1" a="1"/>
  <c r="Q302" i="1"/>
  <c r="Q303" i="1" a="1"/>
  <c r="Q303" i="1" s="1"/>
  <c r="Q304" i="1" a="1"/>
  <c r="Q304" i="1" s="1"/>
  <c r="Q305" i="1" a="1"/>
  <c r="Q305" i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/>
  <c r="Q314" i="1" a="1"/>
  <c r="Q314" i="1" s="1"/>
  <c r="Q315" i="1" a="1"/>
  <c r="Q315" i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/>
  <c r="Q330" i="1" a="1"/>
  <c r="Q330" i="1" s="1"/>
  <c r="Q331" i="1" a="1"/>
  <c r="Q331" i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/>
  <c r="Q346" i="1" a="1"/>
  <c r="Q346" i="1" s="1"/>
  <c r="Q347" i="1" a="1"/>
  <c r="Q347" i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/>
  <c r="Q362" i="1" a="1"/>
  <c r="Q362" i="1" s="1"/>
  <c r="Q363" i="1" a="1"/>
  <c r="Q363" i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 s="1"/>
  <c r="Q376" i="1" a="1"/>
  <c r="Q376" i="1" s="1"/>
  <c r="Q377" i="1" a="1"/>
  <c r="Q377" i="1"/>
  <c r="Q378" i="1" a="1"/>
  <c r="Q378" i="1" s="1"/>
  <c r="Q379" i="1" a="1"/>
  <c r="Q379" i="1"/>
  <c r="Q380" i="1" a="1"/>
  <c r="Q380" i="1" s="1"/>
  <c r="Q381" i="1" a="1"/>
  <c r="Q381" i="1" s="1"/>
  <c r="Q382" i="1" a="1"/>
  <c r="Q382" i="1" s="1"/>
  <c r="Q383" i="1" a="1"/>
  <c r="Q383" i="1" s="1"/>
  <c r="Q384" i="1" a="1"/>
  <c r="Q384" i="1" s="1"/>
  <c r="Q385" i="1" a="1"/>
  <c r="Q385" i="1"/>
  <c r="Q386" i="1" a="1"/>
  <c r="Q386" i="1" s="1"/>
  <c r="Q387" i="1" a="1"/>
  <c r="Q387" i="1" s="1"/>
  <c r="Q388" i="1" a="1"/>
  <c r="Q388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/>
  <c r="Q394" i="1" a="1"/>
  <c r="Q394" i="1" s="1"/>
  <c r="Q395" i="1" a="1"/>
  <c r="Q395" i="1"/>
  <c r="Q396" i="1" a="1"/>
  <c r="Q396" i="1" s="1"/>
  <c r="Q397" i="1" a="1"/>
  <c r="Q397" i="1" s="1"/>
  <c r="Q398" i="1" a="1"/>
  <c r="Q398" i="1" s="1"/>
  <c r="Q399" i="1" a="1"/>
  <c r="Q399" i="1" s="1"/>
  <c r="Q400" i="1" a="1"/>
  <c r="Q400" i="1" s="1"/>
  <c r="Q401" i="1" a="1"/>
  <c r="Q401" i="1"/>
  <c r="Q402" i="1" a="1"/>
  <c r="Q402" i="1" s="1"/>
  <c r="Q403" i="1" a="1"/>
  <c r="Q403" i="1" s="1"/>
  <c r="Q404" i="1" a="1"/>
  <c r="Q404" i="1" s="1"/>
  <c r="Q405" i="1" a="1"/>
  <c r="Q405" i="1" s="1"/>
  <c r="Q406" i="1" a="1"/>
  <c r="Q406" i="1" s="1"/>
  <c r="Q407" i="1" a="1"/>
  <c r="Q407" i="1" s="1"/>
  <c r="Q408" i="1" a="1"/>
  <c r="Q408" i="1" s="1"/>
  <c r="Q409" i="1" a="1"/>
  <c r="Q409" i="1"/>
  <c r="Q410" i="1" a="1"/>
  <c r="Q410" i="1" s="1"/>
  <c r="Q411" i="1" a="1"/>
  <c r="Q411" i="1"/>
  <c r="Q412" i="1" a="1"/>
  <c r="Q412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/>
  <c r="Q418" i="1" a="1"/>
  <c r="Q418" i="1" s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/>
  <c r="Q426" i="1" a="1"/>
  <c r="Q426" i="1" s="1"/>
  <c r="Q427" i="1" a="1"/>
  <c r="Q427" i="1"/>
  <c r="Q428" i="1" a="1"/>
  <c r="Q428" i="1" s="1"/>
  <c r="Q429" i="1" a="1"/>
  <c r="Q429" i="1" s="1"/>
  <c r="Q430" i="1" a="1"/>
  <c r="Q430" i="1" s="1"/>
  <c r="Q431" i="1" a="1"/>
  <c r="Q431" i="1" s="1"/>
  <c r="Q432" i="1" a="1"/>
  <c r="Q432" i="1" s="1"/>
  <c r="Q433" i="1" a="1"/>
  <c r="Q433" i="1"/>
  <c r="Q434" i="1" a="1"/>
  <c r="Q434" i="1" s="1"/>
  <c r="Q435" i="1" a="1"/>
  <c r="Q435" i="1" s="1"/>
  <c r="Q436" i="1" a="1"/>
  <c r="Q436" i="1" s="1"/>
  <c r="Q437" i="1" a="1"/>
  <c r="Q437" i="1" s="1"/>
  <c r="Q438" i="1" a="1"/>
  <c r="Q438" i="1" s="1"/>
  <c r="Q439" i="1" a="1"/>
  <c r="Q439" i="1" s="1"/>
  <c r="Q440" i="1" a="1"/>
  <c r="Q440" i="1" s="1"/>
  <c r="Q441" i="1" a="1"/>
  <c r="Q441" i="1"/>
  <c r="Q442" i="1" a="1"/>
  <c r="Q442" i="1" s="1"/>
  <c r="Q443" i="1" a="1"/>
  <c r="Q443" i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/>
  <c r="Q450" i="1" a="1"/>
  <c r="Q450" i="1" s="1"/>
  <c r="Q451" i="1" a="1"/>
  <c r="Q451" i="1" s="1"/>
  <c r="Q452" i="1" a="1"/>
  <c r="Q452" i="1" s="1"/>
  <c r="Q453" i="1" a="1"/>
  <c r="Q453" i="1" s="1"/>
  <c r="Q454" i="1" a="1"/>
  <c r="Q454" i="1" s="1"/>
  <c r="Q455" i="1" a="1"/>
  <c r="Q455" i="1" s="1"/>
  <c r="Q456" i="1" a="1"/>
  <c r="Q456" i="1" s="1"/>
  <c r="Q457" i="1" a="1"/>
  <c r="Q457" i="1"/>
  <c r="Q458" i="1" a="1"/>
  <c r="Q458" i="1" s="1"/>
  <c r="Q459" i="1" a="1"/>
  <c r="Q459" i="1"/>
  <c r="Q460" i="1" a="1"/>
  <c r="Q460" i="1" s="1"/>
  <c r="Q461" i="1" a="1"/>
  <c r="Q461" i="1" s="1"/>
  <c r="Q462" i="1" a="1"/>
  <c r="Q462" i="1" s="1"/>
  <c r="Q463" i="1" a="1"/>
  <c r="Q463" i="1" s="1"/>
  <c r="Q464" i="1" a="1"/>
  <c r="Q464" i="1" s="1"/>
  <c r="Q465" i="1" a="1"/>
  <c r="Q465" i="1"/>
  <c r="Q466" i="1" a="1"/>
  <c r="Q466" i="1" s="1"/>
  <c r="Q467" i="1" a="1"/>
  <c r="Q467" i="1" s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/>
  <c r="Q474" i="1" a="1"/>
  <c r="Q474" i="1" s="1"/>
  <c r="Q475" i="1" a="1"/>
  <c r="Q475" i="1"/>
  <c r="Q476" i="1" a="1"/>
  <c r="Q476" i="1" s="1"/>
  <c r="Q477" i="1" a="1"/>
  <c r="Q477" i="1" s="1"/>
  <c r="Q478" i="1" a="1"/>
  <c r="Q478" i="1" s="1"/>
  <c r="Q479" i="1" a="1"/>
  <c r="Q479" i="1" s="1"/>
  <c r="Q480" i="1" a="1"/>
  <c r="Q480" i="1" s="1"/>
  <c r="Q481" i="1" a="1"/>
  <c r="Q481" i="1"/>
  <c r="Q482" i="1" a="1"/>
  <c r="Q482" i="1" s="1"/>
  <c r="Q483" i="1" a="1"/>
  <c r="Q483" i="1" s="1"/>
  <c r="Q484" i="1" a="1"/>
  <c r="Q484" i="1" s="1"/>
  <c r="Q485" i="1" a="1"/>
  <c r="Q485" i="1" s="1"/>
  <c r="Q486" i="1" a="1"/>
  <c r="Q486" i="1" s="1"/>
  <c r="Q487" i="1" a="1"/>
  <c r="Q487" i="1" s="1"/>
  <c r="Q488" i="1" a="1"/>
  <c r="Q488" i="1" s="1"/>
  <c r="Q489" i="1" a="1"/>
  <c r="Q489" i="1"/>
  <c r="Q490" i="1" a="1"/>
  <c r="Q490" i="1" s="1"/>
  <c r="Q491" i="1" a="1"/>
  <c r="Q491" i="1"/>
  <c r="Q492" i="1" a="1"/>
  <c r="Q492" i="1" s="1"/>
  <c r="Q493" i="1" a="1"/>
  <c r="Q493" i="1" s="1"/>
  <c r="Q494" i="1" a="1"/>
  <c r="Q494" i="1" s="1"/>
  <c r="Q495" i="1" a="1"/>
  <c r="Q495" i="1" s="1"/>
  <c r="Q496" i="1" a="1"/>
  <c r="Q496" i="1" s="1"/>
  <c r="Q497" i="1" a="1"/>
  <c r="Q497" i="1"/>
  <c r="Q498" i="1" a="1"/>
  <c r="Q498" i="1" s="1"/>
  <c r="Q499" i="1" a="1"/>
  <c r="Q499" i="1" s="1"/>
  <c r="Q500" i="1" a="1"/>
  <c r="Q500" i="1" s="1"/>
  <c r="Q501" i="1" a="1"/>
  <c r="Q501" i="1" s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<sst xmlns="http://schemas.openxmlformats.org/spreadsheetml/2006/main" count="3535" uniqueCount="90">
  <si>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</si>
  <si>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</si>
  <si>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</si>
  <si>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</si>
  <si>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</si>
  <si>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</si>
  <si>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</si>
  <si>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</si>
  <si>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</si>
  <si>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</si>
  <si>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</si>
  <si>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</si>
  <si>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</si>
  <si>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</si>
  <si>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</si>
  <si>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</si>
  <si>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</si>
  <si>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</si>
  <si>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</si>
  <si>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</si>
  <si>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</si>
  <si>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</si>
  <si>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</si>
  <si>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</si>
  <si>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</si>
  <si>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</si>
  <si>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</si>
  <si>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</si>
  <si>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</si>
  <si>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</si>
  <si>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</si>
  <si>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</si>
  <si>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</si>
  <si>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</si>
  <si>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</si>
  <si>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</si>
  <si>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</si>
  <si>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</si>
  <si>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</si>
  <si>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</si>
  <si>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</si>
  <si>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</si>
  <si>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</si>
  <si>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</si>
  <si>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</si>
  <si>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</si>
  <si>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</si>
  <si>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</si>
  <si>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</si>
  <si>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</si>
  <si>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</si>
  <si>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</si>
  <si>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</si>
  <si>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</si>
  <si>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</si>
  <si>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</si>
  <si>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</si>
  <si>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</si>
  <si>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</si>
  <si>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</si>
  <si>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</si>
  <si>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</si>
  <si>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</si>
  <si>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</si>
  <si>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</si>
  <si>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</si>
  <si>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</si>
  <si>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</si>
  <si>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</si>
  <si>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</si>
  <si>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Assignments</t>
  </si>
  <si>
    <t>A) If Discount % is Grater than 10 % , Display "Havy Discount" other wise show "Normal Discount".</t>
  </si>
  <si>
    <t>B) Classify Sales in Three Categories ,If Net Sales greater than 7000 , show "Excellent Sale", If Net Sales greater than 4000 , show "Good",other wise Show "Average".</t>
  </si>
  <si>
    <t>Discount Stetus</t>
  </si>
  <si>
    <t>Sale Stetus</t>
  </si>
  <si>
    <t>C) Find Total Net Sale For Electronics Categogy.</t>
  </si>
  <si>
    <t>D) Find Total Net Sale where Category : Electronics and Channel : Website.</t>
  </si>
  <si>
    <t>E) Count the number of Beauty Product.</t>
  </si>
  <si>
    <t>F) Count Orders where Discount % is Greater than 15 %.</t>
  </si>
  <si>
    <t>Total Sale of Electronics Category</t>
  </si>
  <si>
    <t>Net Sale -&gt; Category : Electronics and Channel : Website.</t>
  </si>
  <si>
    <t>No Of Beauty Prodcut</t>
  </si>
  <si>
    <t>Orders Grater than  15%</t>
  </si>
  <si>
    <t>G) Count Electronics Order COD.</t>
  </si>
  <si>
    <t>Sold COD Electronics</t>
  </si>
  <si>
    <t>H) Display Eligible if net sale greater than 5000 and less than 10 % or Not Eligible.</t>
  </si>
  <si>
    <t>J) Diplay priority order in priority column  where nets sales greater than 7000 or unit sold greater than 5 Then it will display priority order or normal order.</t>
  </si>
  <si>
    <t>K) Display Online If the Sales Channel is not market place.</t>
  </si>
  <si>
    <t>Priority</t>
  </si>
  <si>
    <t>Online (Sales Channel not Market Place)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</si>
</sst>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Y501"/>
  <sheetViews>
    <sheetView tabSelected="1" topLeftCell="D1" workbookViewId="0">
      <selection activeCell="S5" sqref="S5:S7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6" max="16" width="16.44140625" style="1" bestFit="1" customWidth="1"/>
    <col min="17" max="17" width="12.33203125" style="1" bestFit="1" customWidth="1"/>
    <col min="18" max="18" width="12.33203125" style="8" customWidth="1"/>
    <col min="19" max="19" width="34.5546875" style="8" bestFit="1" customWidth="1"/>
    <col min="20" max="20" width="29.21875" bestFit="1" customWidth="1"/>
    <col min="21" max="21" width="49.21875" bestFit="1" customWidth="1"/>
    <col min="22" max="22" width="19.5546875" bestFit="1" customWidth="1"/>
    <col min="23" max="23" width="21.109375" bestFit="1" customWidth="1"/>
    <col min="24" max="24" width="20.21875" bestFit="1" customWidth="1"/>
  </cols>
  <sheetData>
    <row r="1" spans="1:25" s="7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73</v>
      </c>
      <c r="Q1" s="5" t="s">
        <v>74</v>
      </c>
      <c r="R1" s="5" t="s">
        <v>88</v>
      </c>
      <c r="S1" s="5" t="s">
        <v>89</v>
      </c>
      <c r="T1" s="5" t="s">
        <v>79</v>
      </c>
      <c r="U1" s="5" t="s">
        <v>80</v>
      </c>
      <c r="V1" s="5" t="s">
        <v>81</v>
      </c>
      <c r="W1" s="5" t="s">
        <v>82</v>
      </c>
      <c r="X1" s="5" t="s">
        <v>84</v>
      </c>
      <c r="Y1" s="5"/>
    </row>
    <row r="2" spans="1:25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4">
        <v>19907.09</v>
      </c>
      <c r="P2" s="1" t="str">
        <f>IF(N2&gt;10,"Havy Discount","Normal Discount")</f>
        <v>Normal Discount</v>
      </c>
      <c r="Q2" s="1" t="str" cm="1">
        <f t="array" ref="Q2">_xlfn.IFS(O2&gt;7000,"Exellent Sale",O2&gt;4000,"Good Sale",O2&lt;4000,"Average Sale")</f>
        <v>Exellent Sale</v>
      </c>
      <c r="R2" s="1" t="str">
        <f>IF(AND(O2&gt;7000,L2&gt;5),"Priority Order","Normal Order")</f>
        <v>Priority Order</v>
      </c>
      <c r="S2" s="1">
        <f>COUNTIF(G2:G501,"&lt;&gt;"&amp;"Marketplace")</f>
        <v>339</v>
      </c>
      <c r="T2" s="1">
        <f>SUMIF(I2:I501,"Electronics",O2:O501)</f>
        <v>742761.89</v>
      </c>
      <c r="U2" s="1">
        <f>SUMIFS(O2:O501,G2:G501,"Website",I2:I501,"Electronics")</f>
        <v>371838.50000000012</v>
      </c>
      <c r="V2" s="1">
        <f>COUNTIF(I2:I501,"Beauty")</f>
        <v>99</v>
      </c>
      <c r="W2" s="1">
        <f>COUNTIF(N2:N501,"&gt;15")</f>
        <v>106</v>
      </c>
      <c r="X2" s="1">
        <f>COUNTIFS(H2:H501,"Cash on Delivery",I2:I501,"Electronics")</f>
        <v>13</v>
      </c>
      <c r="Y2" s="1"/>
    </row>
    <row r="3" spans="1:25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4">
        <v>21590.720000000001</v>
      </c>
      <c r="P3" s="1" t="str">
        <f t="shared" ref="P3:P66" si="0">IF(N3&gt;10,"Havy Discount","Normal Discount")</f>
        <v>Normal Discount</v>
      </c>
      <c r="Q3" s="1" t="str" cm="1">
        <f t="array" ref="Q3">_xlfn.IFS(O3&gt;7000,"Exellent Sale",O3&gt;4000,"Good Sale",O3&lt;4000,"Average Sale")</f>
        <v>Exellent Sale</v>
      </c>
      <c r="R3" s="1" t="str">
        <f t="shared" ref="R3:R66" si="1">IF(AND(O3&gt;7000,L3&gt;5),"Priority Order","Normal Order")</f>
        <v>Priority Order</v>
      </c>
    </row>
    <row r="4" spans="1:25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4">
        <v>17719.13</v>
      </c>
      <c r="P4" s="1" t="str">
        <f t="shared" si="0"/>
        <v>Havy Discount</v>
      </c>
      <c r="Q4" s="1" t="str" cm="1">
        <f t="array" ref="Q4">_xlfn.IFS(O4&gt;7000,"Exellent Sale",O4&gt;4000,"Good Sale",O4&lt;4000,"Average Sale")</f>
        <v>Exellent Sale</v>
      </c>
      <c r="R4" s="1" t="str">
        <f t="shared" si="1"/>
        <v>Priority Order</v>
      </c>
    </row>
    <row r="5" spans="1:25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4">
        <v>857.47</v>
      </c>
      <c r="P5" s="1" t="str">
        <f t="shared" si="0"/>
        <v>Havy Discount</v>
      </c>
      <c r="Q5" s="1" t="str" cm="1">
        <f t="array" ref="Q5">_xlfn.IFS(O5&gt;7000,"Exellent Sale",O5&gt;4000,"Good Sale",O5&lt;4000,"Average Sale")</f>
        <v>Average Sale</v>
      </c>
      <c r="R5" s="1" t="str">
        <f t="shared" si="1"/>
        <v>Normal Order</v>
      </c>
    </row>
    <row r="6" spans="1:25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4">
        <v>19664.23</v>
      </c>
      <c r="P6" s="1" t="str">
        <f t="shared" si="0"/>
        <v>Havy Discount</v>
      </c>
      <c r="Q6" s="1" t="str" cm="1">
        <f t="array" ref="Q6">_xlfn.IFS(O6&gt;7000,"Exellent Sale",O6&gt;4000,"Good Sale",O6&lt;4000,"Average Sale")</f>
        <v>Exellent Sale</v>
      </c>
      <c r="R6" s="1" t="str">
        <f t="shared" si="1"/>
        <v>Priority Order</v>
      </c>
    </row>
    <row r="7" spans="1:25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4">
        <v>8611.7800000000007</v>
      </c>
      <c r="P7" s="1" t="str">
        <f t="shared" si="0"/>
        <v>Normal Discount</v>
      </c>
      <c r="Q7" s="1" t="str" cm="1">
        <f t="array" ref="Q7">_xlfn.IFS(O7&gt;7000,"Exellent Sale",O7&gt;4000,"Good Sale",O7&lt;4000,"Average Sale")</f>
        <v>Exellent Sale</v>
      </c>
      <c r="R7" s="1" t="str">
        <f t="shared" si="1"/>
        <v>Normal Order</v>
      </c>
    </row>
    <row r="8" spans="1:25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4">
        <v>13636.89</v>
      </c>
      <c r="P8" s="1" t="str">
        <f t="shared" si="0"/>
        <v>Normal Discount</v>
      </c>
      <c r="Q8" s="1" t="str" cm="1">
        <f t="array" ref="Q8">_xlfn.IFS(O8&gt;7000,"Exellent Sale",O8&gt;4000,"Good Sale",O8&lt;4000,"Average Sale")</f>
        <v>Exellent Sale</v>
      </c>
      <c r="R8" s="1" t="str">
        <f t="shared" si="1"/>
        <v>Normal Order</v>
      </c>
    </row>
    <row r="9" spans="1:25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4">
        <v>8318.99</v>
      </c>
      <c r="P9" s="1" t="str">
        <f t="shared" si="0"/>
        <v>Normal Discount</v>
      </c>
      <c r="Q9" s="1" t="str" cm="1">
        <f t="array" ref="Q9">_xlfn.IFS(O9&gt;7000,"Exellent Sale",O9&gt;4000,"Good Sale",O9&lt;4000,"Average Sale")</f>
        <v>Exellent Sale</v>
      </c>
      <c r="R9" s="1" t="str">
        <f t="shared" si="1"/>
        <v>Normal Order</v>
      </c>
    </row>
    <row r="10" spans="1:25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4">
        <v>4666.67</v>
      </c>
      <c r="P10" s="1" t="str">
        <f t="shared" si="0"/>
        <v>Havy Discount</v>
      </c>
      <c r="Q10" s="1" t="str" cm="1">
        <f t="array" ref="Q10">_xlfn.IFS(O10&gt;7000,"Exellent Sale",O10&gt;4000,"Good Sale",O10&lt;4000,"Average Sale")</f>
        <v>Good Sale</v>
      </c>
      <c r="R10" s="1" t="str">
        <f t="shared" si="1"/>
        <v>Normal Order</v>
      </c>
    </row>
    <row r="11" spans="1:25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4">
        <v>7122.64</v>
      </c>
      <c r="P11" s="1" t="str">
        <f t="shared" si="0"/>
        <v>Havy Discount</v>
      </c>
      <c r="Q11" s="1" t="str" cm="1">
        <f t="array" ref="Q11">_xlfn.IFS(O11&gt;7000,"Exellent Sale",O11&gt;4000,"Good Sale",O11&lt;4000,"Average Sale")</f>
        <v>Exellent Sale</v>
      </c>
      <c r="R11" s="1" t="str">
        <f t="shared" si="1"/>
        <v>Normal Order</v>
      </c>
    </row>
    <row r="12" spans="1:25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4">
        <v>19231.5</v>
      </c>
      <c r="P12" s="1" t="str">
        <f t="shared" si="0"/>
        <v>Normal Discount</v>
      </c>
      <c r="Q12" s="1" t="str" cm="1">
        <f t="array" ref="Q12">_xlfn.IFS(O12&gt;7000,"Exellent Sale",O12&gt;4000,"Good Sale",O12&lt;4000,"Average Sale")</f>
        <v>Exellent Sale</v>
      </c>
      <c r="R12" s="1" t="str">
        <f t="shared" si="1"/>
        <v>Priority Order</v>
      </c>
    </row>
    <row r="13" spans="1:25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4">
        <v>1552.39</v>
      </c>
      <c r="P13" s="1" t="str">
        <f t="shared" si="0"/>
        <v>Normal Discount</v>
      </c>
      <c r="Q13" s="1" t="str" cm="1">
        <f t="array" ref="Q13">_xlfn.IFS(O13&gt;7000,"Exellent Sale",O13&gt;4000,"Good Sale",O13&lt;4000,"Average Sale")</f>
        <v>Average Sale</v>
      </c>
      <c r="R13" s="1" t="str">
        <f t="shared" si="1"/>
        <v>Normal Order</v>
      </c>
    </row>
    <row r="14" spans="1:25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4">
        <v>25287.200000000001</v>
      </c>
      <c r="P14" s="1" t="str">
        <f t="shared" si="0"/>
        <v>Normal Discount</v>
      </c>
      <c r="Q14" s="1" t="str" cm="1">
        <f t="array" ref="Q14">_xlfn.IFS(O14&gt;7000,"Exellent Sale",O14&gt;4000,"Good Sale",O14&lt;4000,"Average Sale")</f>
        <v>Exellent Sale</v>
      </c>
      <c r="R14" s="1" t="str">
        <f t="shared" si="1"/>
        <v>Priority Order</v>
      </c>
    </row>
    <row r="15" spans="1:25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4">
        <v>7305.04</v>
      </c>
      <c r="P15" s="1" t="str">
        <f t="shared" si="0"/>
        <v>Havy Discount</v>
      </c>
      <c r="Q15" s="1" t="str" cm="1">
        <f t="array" ref="Q15">_xlfn.IFS(O15&gt;7000,"Exellent Sale",O15&gt;4000,"Good Sale",O15&lt;4000,"Average Sale")</f>
        <v>Exellent Sale</v>
      </c>
      <c r="R15" s="1" t="str">
        <f t="shared" si="1"/>
        <v>Priority Order</v>
      </c>
    </row>
    <row r="16" spans="1:25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4">
        <v>5715.28</v>
      </c>
      <c r="P16" s="1" t="str">
        <f t="shared" si="0"/>
        <v>Normal Discount</v>
      </c>
      <c r="Q16" s="1" t="str" cm="1">
        <f t="array" ref="Q16">_xlfn.IFS(O16&gt;7000,"Exellent Sale",O16&gt;4000,"Good Sale",O16&lt;4000,"Average Sale")</f>
        <v>Good Sale</v>
      </c>
      <c r="R16" s="1" t="str">
        <f t="shared" si="1"/>
        <v>Normal Order</v>
      </c>
    </row>
    <row r="17" spans="1:18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4">
        <v>4525.42</v>
      </c>
      <c r="P17" s="1" t="str">
        <f t="shared" si="0"/>
        <v>Normal Discount</v>
      </c>
      <c r="Q17" s="1" t="str" cm="1">
        <f t="array" ref="Q17">_xlfn.IFS(O17&gt;7000,"Exellent Sale",O17&gt;4000,"Good Sale",O17&lt;4000,"Average Sale")</f>
        <v>Good Sale</v>
      </c>
      <c r="R17" s="1" t="str">
        <f t="shared" si="1"/>
        <v>Normal Order</v>
      </c>
    </row>
    <row r="18" spans="1:18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4">
        <v>433.35</v>
      </c>
      <c r="P18" s="1" t="str">
        <f t="shared" si="0"/>
        <v>Havy Discount</v>
      </c>
      <c r="Q18" s="1" t="str" cm="1">
        <f t="array" ref="Q18">_xlfn.IFS(O18&gt;7000,"Exellent Sale",O18&gt;4000,"Good Sale",O18&lt;4000,"Average Sale")</f>
        <v>Average Sale</v>
      </c>
      <c r="R18" s="1" t="str">
        <f t="shared" si="1"/>
        <v>Normal Order</v>
      </c>
    </row>
    <row r="19" spans="1:18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4">
        <v>1840.94</v>
      </c>
      <c r="P19" s="1" t="str">
        <f t="shared" si="0"/>
        <v>Havy Discount</v>
      </c>
      <c r="Q19" s="1" t="str" cm="1">
        <f t="array" ref="Q19">_xlfn.IFS(O19&gt;7000,"Exellent Sale",O19&gt;4000,"Good Sale",O19&lt;4000,"Average Sale")</f>
        <v>Average Sale</v>
      </c>
      <c r="R19" s="1" t="str">
        <f t="shared" si="1"/>
        <v>Normal Order</v>
      </c>
    </row>
    <row r="20" spans="1:18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4">
        <v>1683.51</v>
      </c>
      <c r="P20" s="1" t="str">
        <f t="shared" si="0"/>
        <v>Havy Discount</v>
      </c>
      <c r="Q20" s="1" t="str" cm="1">
        <f t="array" ref="Q20">_xlfn.IFS(O20&gt;7000,"Exellent Sale",O20&gt;4000,"Good Sale",O20&lt;4000,"Average Sale")</f>
        <v>Average Sale</v>
      </c>
      <c r="R20" s="1" t="str">
        <f t="shared" si="1"/>
        <v>Normal Order</v>
      </c>
    </row>
    <row r="21" spans="1:18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4">
        <v>7522.69</v>
      </c>
      <c r="P21" s="1" t="str">
        <f t="shared" si="0"/>
        <v>Normal Discount</v>
      </c>
      <c r="Q21" s="1" t="str" cm="1">
        <f t="array" ref="Q21">_xlfn.IFS(O21&gt;7000,"Exellent Sale",O21&gt;4000,"Good Sale",O21&lt;4000,"Average Sale")</f>
        <v>Exellent Sale</v>
      </c>
      <c r="R21" s="1" t="str">
        <f t="shared" si="1"/>
        <v>Normal Order</v>
      </c>
    </row>
    <row r="22" spans="1:18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4">
        <v>6730.5</v>
      </c>
      <c r="P22" s="1" t="str">
        <f t="shared" si="0"/>
        <v>Normal Discount</v>
      </c>
      <c r="Q22" s="1" t="str" cm="1">
        <f t="array" ref="Q22">_xlfn.IFS(O22&gt;7000,"Exellent Sale",O22&gt;4000,"Good Sale",O22&lt;4000,"Average Sale")</f>
        <v>Good Sale</v>
      </c>
      <c r="R22" s="1" t="str">
        <f t="shared" si="1"/>
        <v>Normal Order</v>
      </c>
    </row>
    <row r="23" spans="1:18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4">
        <v>3812.82</v>
      </c>
      <c r="P23" s="1" t="str">
        <f t="shared" si="0"/>
        <v>Havy Discount</v>
      </c>
      <c r="Q23" s="1" t="str" cm="1">
        <f t="array" ref="Q23">_xlfn.IFS(O23&gt;7000,"Exellent Sale",O23&gt;4000,"Good Sale",O23&lt;4000,"Average Sale")</f>
        <v>Average Sale</v>
      </c>
      <c r="R23" s="1" t="str">
        <f t="shared" si="1"/>
        <v>Normal Order</v>
      </c>
    </row>
    <row r="24" spans="1:18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4">
        <v>4482.78</v>
      </c>
      <c r="P24" s="1" t="str">
        <f t="shared" si="0"/>
        <v>Havy Discount</v>
      </c>
      <c r="Q24" s="1" t="str" cm="1">
        <f t="array" ref="Q24">_xlfn.IFS(O24&gt;7000,"Exellent Sale",O24&gt;4000,"Good Sale",O24&lt;4000,"Average Sale")</f>
        <v>Good Sale</v>
      </c>
      <c r="R24" s="1" t="str">
        <f t="shared" si="1"/>
        <v>Normal Order</v>
      </c>
    </row>
    <row r="25" spans="1:18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4">
        <v>3606.31</v>
      </c>
      <c r="P25" s="1" t="str">
        <f t="shared" si="0"/>
        <v>Normal Discount</v>
      </c>
      <c r="Q25" s="1" t="str" cm="1">
        <f t="array" ref="Q25">_xlfn.IFS(O25&gt;7000,"Exellent Sale",O25&gt;4000,"Good Sale",O25&lt;4000,"Average Sale")</f>
        <v>Average Sale</v>
      </c>
      <c r="R25" s="1" t="str">
        <f t="shared" si="1"/>
        <v>Normal Order</v>
      </c>
    </row>
    <row r="26" spans="1:18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4">
        <v>17207.96</v>
      </c>
      <c r="P26" s="1" t="str">
        <f t="shared" si="0"/>
        <v>Normal Discount</v>
      </c>
      <c r="Q26" s="1" t="str" cm="1">
        <f t="array" ref="Q26">_xlfn.IFS(O26&gt;7000,"Exellent Sale",O26&gt;4000,"Good Sale",O26&lt;4000,"Average Sale")</f>
        <v>Exellent Sale</v>
      </c>
      <c r="R26" s="1" t="str">
        <f t="shared" si="1"/>
        <v>Priority Order</v>
      </c>
    </row>
    <row r="27" spans="1:18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4">
        <v>3798.68</v>
      </c>
      <c r="P27" s="1" t="str">
        <f t="shared" si="0"/>
        <v>Normal Discount</v>
      </c>
      <c r="Q27" s="1" t="str" cm="1">
        <f t="array" ref="Q27">_xlfn.IFS(O27&gt;7000,"Exellent Sale",O27&gt;4000,"Good Sale",O27&lt;4000,"Average Sale")</f>
        <v>Average Sale</v>
      </c>
      <c r="R27" s="1" t="str">
        <f t="shared" si="1"/>
        <v>Normal Order</v>
      </c>
    </row>
    <row r="28" spans="1:18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4">
        <v>10257.58</v>
      </c>
      <c r="P28" s="1" t="str">
        <f t="shared" si="0"/>
        <v>Normal Discount</v>
      </c>
      <c r="Q28" s="1" t="str" cm="1">
        <f t="array" ref="Q28">_xlfn.IFS(O28&gt;7000,"Exellent Sale",O28&gt;4000,"Good Sale",O28&lt;4000,"Average Sale")</f>
        <v>Exellent Sale</v>
      </c>
      <c r="R28" s="1" t="str">
        <f t="shared" si="1"/>
        <v>Normal Order</v>
      </c>
    </row>
    <row r="29" spans="1:18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4">
        <v>15391.82</v>
      </c>
      <c r="P29" s="1" t="str">
        <f t="shared" si="0"/>
        <v>Havy Discount</v>
      </c>
      <c r="Q29" s="1" t="str" cm="1">
        <f t="array" ref="Q29">_xlfn.IFS(O29&gt;7000,"Exellent Sale",O29&gt;4000,"Good Sale",O29&lt;4000,"Average Sale")</f>
        <v>Exellent Sale</v>
      </c>
      <c r="R29" s="1" t="str">
        <f t="shared" si="1"/>
        <v>Priority Order</v>
      </c>
    </row>
    <row r="30" spans="1:18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4">
        <v>1936.65</v>
      </c>
      <c r="P30" s="1" t="str">
        <f t="shared" si="0"/>
        <v>Havy Discount</v>
      </c>
      <c r="Q30" s="1" t="str" cm="1">
        <f t="array" ref="Q30">_xlfn.IFS(O30&gt;7000,"Exellent Sale",O30&gt;4000,"Good Sale",O30&lt;4000,"Average Sale")</f>
        <v>Average Sale</v>
      </c>
      <c r="R30" s="1" t="str">
        <f t="shared" si="1"/>
        <v>Normal Order</v>
      </c>
    </row>
    <row r="31" spans="1:18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4">
        <v>314.44</v>
      </c>
      <c r="P31" s="1" t="str">
        <f t="shared" si="0"/>
        <v>Normal Discount</v>
      </c>
      <c r="Q31" s="1" t="str" cm="1">
        <f t="array" ref="Q31">_xlfn.IFS(O31&gt;7000,"Exellent Sale",O31&gt;4000,"Good Sale",O31&lt;4000,"Average Sale")</f>
        <v>Average Sale</v>
      </c>
      <c r="R31" s="1" t="str">
        <f t="shared" si="1"/>
        <v>Normal Order</v>
      </c>
    </row>
    <row r="32" spans="1:18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4">
        <v>9182.6</v>
      </c>
      <c r="P32" s="1" t="str">
        <f t="shared" si="0"/>
        <v>Havy Discount</v>
      </c>
      <c r="Q32" s="1" t="str" cm="1">
        <f t="array" ref="Q32">_xlfn.IFS(O32&gt;7000,"Exellent Sale",O32&gt;4000,"Good Sale",O32&lt;4000,"Average Sale")</f>
        <v>Exellent Sale</v>
      </c>
      <c r="R32" s="1" t="str">
        <f t="shared" si="1"/>
        <v>Normal Order</v>
      </c>
    </row>
    <row r="33" spans="1:18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4">
        <v>2852.81</v>
      </c>
      <c r="P33" s="1" t="str">
        <f t="shared" si="0"/>
        <v>Normal Discount</v>
      </c>
      <c r="Q33" s="1" t="str" cm="1">
        <f t="array" ref="Q33">_xlfn.IFS(O33&gt;7000,"Exellent Sale",O33&gt;4000,"Good Sale",O33&lt;4000,"Average Sale")</f>
        <v>Average Sale</v>
      </c>
      <c r="R33" s="1" t="str">
        <f t="shared" si="1"/>
        <v>Normal Order</v>
      </c>
    </row>
    <row r="34" spans="1:18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4">
        <v>18833.810000000001</v>
      </c>
      <c r="P34" s="1" t="str">
        <f t="shared" si="0"/>
        <v>Havy Discount</v>
      </c>
      <c r="Q34" s="1" t="str" cm="1">
        <f t="array" ref="Q34">_xlfn.IFS(O34&gt;7000,"Exellent Sale",O34&gt;4000,"Good Sale",O34&lt;4000,"Average Sale")</f>
        <v>Exellent Sale</v>
      </c>
      <c r="R34" s="1" t="str">
        <f t="shared" si="1"/>
        <v>Priority Order</v>
      </c>
    </row>
    <row r="35" spans="1:18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4">
        <v>9177.5400000000009</v>
      </c>
      <c r="P35" s="1" t="str">
        <f t="shared" si="0"/>
        <v>Normal Discount</v>
      </c>
      <c r="Q35" s="1" t="str" cm="1">
        <f t="array" ref="Q35">_xlfn.IFS(O35&gt;7000,"Exellent Sale",O35&gt;4000,"Good Sale",O35&lt;4000,"Average Sale")</f>
        <v>Exellent Sale</v>
      </c>
      <c r="R35" s="1" t="str">
        <f t="shared" si="1"/>
        <v>Priority Order</v>
      </c>
    </row>
    <row r="36" spans="1:18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4">
        <v>24369.86</v>
      </c>
      <c r="P36" s="1" t="str">
        <f t="shared" si="0"/>
        <v>Normal Discount</v>
      </c>
      <c r="Q36" s="1" t="str" cm="1">
        <f t="array" ref="Q36">_xlfn.IFS(O36&gt;7000,"Exellent Sale",O36&gt;4000,"Good Sale",O36&lt;4000,"Average Sale")</f>
        <v>Exellent Sale</v>
      </c>
      <c r="R36" s="1" t="str">
        <f t="shared" si="1"/>
        <v>Priority Order</v>
      </c>
    </row>
    <row r="37" spans="1:18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4">
        <v>11639.5</v>
      </c>
      <c r="P37" s="1" t="str">
        <f t="shared" si="0"/>
        <v>Normal Discount</v>
      </c>
      <c r="Q37" s="1" t="str" cm="1">
        <f t="array" ref="Q37">_xlfn.IFS(O37&gt;7000,"Exellent Sale",O37&gt;4000,"Good Sale",O37&lt;4000,"Average Sale")</f>
        <v>Exellent Sale</v>
      </c>
      <c r="R37" s="1" t="str">
        <f t="shared" si="1"/>
        <v>Normal Order</v>
      </c>
    </row>
    <row r="38" spans="1:18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4">
        <v>3242.5</v>
      </c>
      <c r="P38" s="1" t="str">
        <f t="shared" si="0"/>
        <v>Normal Discount</v>
      </c>
      <c r="Q38" s="1" t="str" cm="1">
        <f t="array" ref="Q38">_xlfn.IFS(O38&gt;7000,"Exellent Sale",O38&gt;4000,"Good Sale",O38&lt;4000,"Average Sale")</f>
        <v>Average Sale</v>
      </c>
      <c r="R38" s="1" t="str">
        <f t="shared" si="1"/>
        <v>Normal Order</v>
      </c>
    </row>
    <row r="39" spans="1:18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4">
        <v>3849.78</v>
      </c>
      <c r="P39" s="1" t="str">
        <f t="shared" si="0"/>
        <v>Havy Discount</v>
      </c>
      <c r="Q39" s="1" t="str" cm="1">
        <f t="array" ref="Q39">_xlfn.IFS(O39&gt;7000,"Exellent Sale",O39&gt;4000,"Good Sale",O39&lt;4000,"Average Sale")</f>
        <v>Average Sale</v>
      </c>
      <c r="R39" s="1" t="str">
        <f t="shared" si="1"/>
        <v>Normal Order</v>
      </c>
    </row>
    <row r="40" spans="1:18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4">
        <v>14098.05</v>
      </c>
      <c r="P40" s="1" t="str">
        <f t="shared" si="0"/>
        <v>Havy Discount</v>
      </c>
      <c r="Q40" s="1" t="str" cm="1">
        <f t="array" ref="Q40">_xlfn.IFS(O40&gt;7000,"Exellent Sale",O40&gt;4000,"Good Sale",O40&lt;4000,"Average Sale")</f>
        <v>Exellent Sale</v>
      </c>
      <c r="R40" s="1" t="str">
        <f t="shared" si="1"/>
        <v>Priority Order</v>
      </c>
    </row>
    <row r="41" spans="1:18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4">
        <v>16649.55</v>
      </c>
      <c r="P41" s="1" t="str">
        <f t="shared" si="0"/>
        <v>Normal Discount</v>
      </c>
      <c r="Q41" s="1" t="str" cm="1">
        <f t="array" ref="Q41">_xlfn.IFS(O41&gt;7000,"Exellent Sale",O41&gt;4000,"Good Sale",O41&lt;4000,"Average Sale")</f>
        <v>Exellent Sale</v>
      </c>
      <c r="R41" s="1" t="str">
        <f t="shared" si="1"/>
        <v>Priority Order</v>
      </c>
    </row>
    <row r="42" spans="1:18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4">
        <v>25270.400000000001</v>
      </c>
      <c r="P42" s="1" t="str">
        <f t="shared" si="0"/>
        <v>Normal Discount</v>
      </c>
      <c r="Q42" s="1" t="str" cm="1">
        <f t="array" ref="Q42">_xlfn.IFS(O42&gt;7000,"Exellent Sale",O42&gt;4000,"Good Sale",O42&lt;4000,"Average Sale")</f>
        <v>Exellent Sale</v>
      </c>
      <c r="R42" s="1" t="str">
        <f t="shared" si="1"/>
        <v>Priority Order</v>
      </c>
    </row>
    <row r="43" spans="1:18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4">
        <v>3877.34</v>
      </c>
      <c r="P43" s="1" t="str">
        <f t="shared" si="0"/>
        <v>Havy Discount</v>
      </c>
      <c r="Q43" s="1" t="str" cm="1">
        <f t="array" ref="Q43">_xlfn.IFS(O43&gt;7000,"Exellent Sale",O43&gt;4000,"Good Sale",O43&lt;4000,"Average Sale")</f>
        <v>Average Sale</v>
      </c>
      <c r="R43" s="1" t="str">
        <f t="shared" si="1"/>
        <v>Normal Order</v>
      </c>
    </row>
    <row r="44" spans="1:18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4">
        <v>3979.49</v>
      </c>
      <c r="P44" s="1" t="str">
        <f t="shared" si="0"/>
        <v>Havy Discount</v>
      </c>
      <c r="Q44" s="1" t="str" cm="1">
        <f t="array" ref="Q44">_xlfn.IFS(O44&gt;7000,"Exellent Sale",O44&gt;4000,"Good Sale",O44&lt;4000,"Average Sale")</f>
        <v>Average Sale</v>
      </c>
      <c r="R44" s="1" t="str">
        <f t="shared" si="1"/>
        <v>Normal Order</v>
      </c>
    </row>
    <row r="45" spans="1:18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4">
        <v>686.43</v>
      </c>
      <c r="P45" s="1" t="str">
        <f t="shared" si="0"/>
        <v>Havy Discount</v>
      </c>
      <c r="Q45" s="1" t="str" cm="1">
        <f t="array" ref="Q45">_xlfn.IFS(O45&gt;7000,"Exellent Sale",O45&gt;4000,"Good Sale",O45&lt;4000,"Average Sale")</f>
        <v>Average Sale</v>
      </c>
      <c r="R45" s="1" t="str">
        <f t="shared" si="1"/>
        <v>Normal Order</v>
      </c>
    </row>
    <row r="46" spans="1:18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4">
        <v>2764.92</v>
      </c>
      <c r="P46" s="1" t="str">
        <f t="shared" si="0"/>
        <v>Normal Discount</v>
      </c>
      <c r="Q46" s="1" t="str" cm="1">
        <f t="array" ref="Q46">_xlfn.IFS(O46&gt;7000,"Exellent Sale",O46&gt;4000,"Good Sale",O46&lt;4000,"Average Sale")</f>
        <v>Average Sale</v>
      </c>
      <c r="R46" s="1" t="str">
        <f t="shared" si="1"/>
        <v>Normal Order</v>
      </c>
    </row>
    <row r="47" spans="1:18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4">
        <v>3202.49</v>
      </c>
      <c r="P47" s="1" t="str">
        <f t="shared" si="0"/>
        <v>Normal Discount</v>
      </c>
      <c r="Q47" s="1" t="str" cm="1">
        <f t="array" ref="Q47">_xlfn.IFS(O47&gt;7000,"Exellent Sale",O47&gt;4000,"Good Sale",O47&lt;4000,"Average Sale")</f>
        <v>Average Sale</v>
      </c>
      <c r="R47" s="1" t="str">
        <f t="shared" si="1"/>
        <v>Normal Order</v>
      </c>
    </row>
    <row r="48" spans="1:18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4">
        <v>1415.94</v>
      </c>
      <c r="P48" s="1" t="str">
        <f t="shared" si="0"/>
        <v>Havy Discount</v>
      </c>
      <c r="Q48" s="1" t="str" cm="1">
        <f t="array" ref="Q48">_xlfn.IFS(O48&gt;7000,"Exellent Sale",O48&gt;4000,"Good Sale",O48&lt;4000,"Average Sale")</f>
        <v>Average Sale</v>
      </c>
      <c r="R48" s="1" t="str">
        <f t="shared" si="1"/>
        <v>Normal Order</v>
      </c>
    </row>
    <row r="49" spans="1:18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4">
        <v>11715.78</v>
      </c>
      <c r="P49" s="1" t="str">
        <f t="shared" si="0"/>
        <v>Normal Discount</v>
      </c>
      <c r="Q49" s="1" t="str" cm="1">
        <f t="array" ref="Q49">_xlfn.IFS(O49&gt;7000,"Exellent Sale",O49&gt;4000,"Good Sale",O49&lt;4000,"Average Sale")</f>
        <v>Exellent Sale</v>
      </c>
      <c r="R49" s="1" t="str">
        <f t="shared" si="1"/>
        <v>Normal Order</v>
      </c>
    </row>
    <row r="50" spans="1:18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4">
        <v>19165.14</v>
      </c>
      <c r="P50" s="1" t="str">
        <f t="shared" si="0"/>
        <v>Havy Discount</v>
      </c>
      <c r="Q50" s="1" t="str" cm="1">
        <f t="array" ref="Q50">_xlfn.IFS(O50&gt;7000,"Exellent Sale",O50&gt;4000,"Good Sale",O50&lt;4000,"Average Sale")</f>
        <v>Exellent Sale</v>
      </c>
      <c r="R50" s="1" t="str">
        <f t="shared" si="1"/>
        <v>Priority Order</v>
      </c>
    </row>
    <row r="51" spans="1:18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4">
        <v>6482.11</v>
      </c>
      <c r="P51" s="1" t="str">
        <f t="shared" si="0"/>
        <v>Havy Discount</v>
      </c>
      <c r="Q51" s="1" t="str" cm="1">
        <f t="array" ref="Q51">_xlfn.IFS(O51&gt;7000,"Exellent Sale",O51&gt;4000,"Good Sale",O51&lt;4000,"Average Sale")</f>
        <v>Good Sale</v>
      </c>
      <c r="R51" s="1" t="str">
        <f t="shared" si="1"/>
        <v>Normal Order</v>
      </c>
    </row>
    <row r="52" spans="1:18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4">
        <v>4724.3900000000003</v>
      </c>
      <c r="P52" s="1" t="str">
        <f t="shared" si="0"/>
        <v>Havy Discount</v>
      </c>
      <c r="Q52" s="1" t="str" cm="1">
        <f t="array" ref="Q52">_xlfn.IFS(O52&gt;7000,"Exellent Sale",O52&gt;4000,"Good Sale",O52&lt;4000,"Average Sale")</f>
        <v>Good Sale</v>
      </c>
      <c r="R52" s="1" t="str">
        <f t="shared" si="1"/>
        <v>Normal Order</v>
      </c>
    </row>
    <row r="53" spans="1:18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4">
        <v>7605.28</v>
      </c>
      <c r="P53" s="1" t="str">
        <f t="shared" si="0"/>
        <v>Normal Discount</v>
      </c>
      <c r="Q53" s="1" t="str" cm="1">
        <f t="array" ref="Q53">_xlfn.IFS(O53&gt;7000,"Exellent Sale",O53&gt;4000,"Good Sale",O53&lt;4000,"Average Sale")</f>
        <v>Exellent Sale</v>
      </c>
      <c r="R53" s="1" t="str">
        <f t="shared" si="1"/>
        <v>Normal Order</v>
      </c>
    </row>
    <row r="54" spans="1:18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4">
        <v>11403.31</v>
      </c>
      <c r="P54" s="1" t="str">
        <f t="shared" si="0"/>
        <v>Normal Discount</v>
      </c>
      <c r="Q54" s="1" t="str" cm="1">
        <f t="array" ref="Q54">_xlfn.IFS(O54&gt;7000,"Exellent Sale",O54&gt;4000,"Good Sale",O54&lt;4000,"Average Sale")</f>
        <v>Exellent Sale</v>
      </c>
      <c r="R54" s="1" t="str">
        <f t="shared" si="1"/>
        <v>Normal Order</v>
      </c>
    </row>
    <row r="55" spans="1:18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4">
        <v>10286.06</v>
      </c>
      <c r="P55" s="1" t="str">
        <f t="shared" si="0"/>
        <v>Normal Discount</v>
      </c>
      <c r="Q55" s="1" t="str" cm="1">
        <f t="array" ref="Q55">_xlfn.IFS(O55&gt;7000,"Exellent Sale",O55&gt;4000,"Good Sale",O55&lt;4000,"Average Sale")</f>
        <v>Exellent Sale</v>
      </c>
      <c r="R55" s="1" t="str">
        <f t="shared" si="1"/>
        <v>Priority Order</v>
      </c>
    </row>
    <row r="56" spans="1:18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4">
        <v>7074.06</v>
      </c>
      <c r="P56" s="1" t="str">
        <f t="shared" si="0"/>
        <v>Normal Discount</v>
      </c>
      <c r="Q56" s="1" t="str" cm="1">
        <f t="array" ref="Q56">_xlfn.IFS(O56&gt;7000,"Exellent Sale",O56&gt;4000,"Good Sale",O56&lt;4000,"Average Sale")</f>
        <v>Exellent Sale</v>
      </c>
      <c r="R56" s="1" t="str">
        <f t="shared" si="1"/>
        <v>Normal Order</v>
      </c>
    </row>
    <row r="57" spans="1:18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4">
        <v>17353.87</v>
      </c>
      <c r="P57" s="1" t="str">
        <f t="shared" si="0"/>
        <v>Havy Discount</v>
      </c>
      <c r="Q57" s="1" t="str" cm="1">
        <f t="array" ref="Q57">_xlfn.IFS(O57&gt;7000,"Exellent Sale",O57&gt;4000,"Good Sale",O57&lt;4000,"Average Sale")</f>
        <v>Exellent Sale</v>
      </c>
      <c r="R57" s="1" t="str">
        <f t="shared" si="1"/>
        <v>Priority Order</v>
      </c>
    </row>
    <row r="58" spans="1:18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4">
        <v>7288.78</v>
      </c>
      <c r="P58" s="1" t="str">
        <f t="shared" si="0"/>
        <v>Havy Discount</v>
      </c>
      <c r="Q58" s="1" t="str" cm="1">
        <f t="array" ref="Q58">_xlfn.IFS(O58&gt;7000,"Exellent Sale",O58&gt;4000,"Good Sale",O58&lt;4000,"Average Sale")</f>
        <v>Exellent Sale</v>
      </c>
      <c r="R58" s="1" t="str">
        <f t="shared" si="1"/>
        <v>Priority Order</v>
      </c>
    </row>
    <row r="59" spans="1:18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4">
        <v>8137.32</v>
      </c>
      <c r="P59" s="1" t="str">
        <f t="shared" si="0"/>
        <v>Normal Discount</v>
      </c>
      <c r="Q59" s="1" t="str" cm="1">
        <f t="array" ref="Q59">_xlfn.IFS(O59&gt;7000,"Exellent Sale",O59&gt;4000,"Good Sale",O59&lt;4000,"Average Sale")</f>
        <v>Exellent Sale</v>
      </c>
      <c r="R59" s="1" t="str">
        <f t="shared" si="1"/>
        <v>Priority Order</v>
      </c>
    </row>
    <row r="60" spans="1:18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4">
        <v>16978.88</v>
      </c>
      <c r="P60" s="1" t="str">
        <f t="shared" si="0"/>
        <v>Normal Discount</v>
      </c>
      <c r="Q60" s="1" t="str" cm="1">
        <f t="array" ref="Q60">_xlfn.IFS(O60&gt;7000,"Exellent Sale",O60&gt;4000,"Good Sale",O60&lt;4000,"Average Sale")</f>
        <v>Exellent Sale</v>
      </c>
      <c r="R60" s="1" t="str">
        <f t="shared" si="1"/>
        <v>Priority Order</v>
      </c>
    </row>
    <row r="61" spans="1:18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4">
        <v>21272.1</v>
      </c>
      <c r="P61" s="1" t="str">
        <f t="shared" si="0"/>
        <v>Havy Discount</v>
      </c>
      <c r="Q61" s="1" t="str" cm="1">
        <f t="array" ref="Q61">_xlfn.IFS(O61&gt;7000,"Exellent Sale",O61&gt;4000,"Good Sale",O61&lt;4000,"Average Sale")</f>
        <v>Exellent Sale</v>
      </c>
      <c r="R61" s="1" t="str">
        <f t="shared" si="1"/>
        <v>Priority Order</v>
      </c>
    </row>
    <row r="62" spans="1:18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4">
        <v>2013.23</v>
      </c>
      <c r="P62" s="1" t="str">
        <f t="shared" si="0"/>
        <v>Normal Discount</v>
      </c>
      <c r="Q62" s="1" t="str" cm="1">
        <f t="array" ref="Q62">_xlfn.IFS(O62&gt;7000,"Exellent Sale",O62&gt;4000,"Good Sale",O62&lt;4000,"Average Sale")</f>
        <v>Average Sale</v>
      </c>
      <c r="R62" s="1" t="str">
        <f t="shared" si="1"/>
        <v>Normal Order</v>
      </c>
    </row>
    <row r="63" spans="1:18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4">
        <v>21426.98</v>
      </c>
      <c r="P63" s="1" t="str">
        <f t="shared" si="0"/>
        <v>Normal Discount</v>
      </c>
      <c r="Q63" s="1" t="str" cm="1">
        <f t="array" ref="Q63">_xlfn.IFS(O63&gt;7000,"Exellent Sale",O63&gt;4000,"Good Sale",O63&lt;4000,"Average Sale")</f>
        <v>Exellent Sale</v>
      </c>
      <c r="R63" s="1" t="str">
        <f t="shared" si="1"/>
        <v>Priority Order</v>
      </c>
    </row>
    <row r="64" spans="1:18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4">
        <v>14286.83</v>
      </c>
      <c r="P64" s="1" t="str">
        <f t="shared" si="0"/>
        <v>Normal Discount</v>
      </c>
      <c r="Q64" s="1" t="str" cm="1">
        <f t="array" ref="Q64">_xlfn.IFS(O64&gt;7000,"Exellent Sale",O64&gt;4000,"Good Sale",O64&lt;4000,"Average Sale")</f>
        <v>Exellent Sale</v>
      </c>
      <c r="R64" s="1" t="str">
        <f t="shared" si="1"/>
        <v>Priority Order</v>
      </c>
    </row>
    <row r="65" spans="1:18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4">
        <v>1770.04</v>
      </c>
      <c r="P65" s="1" t="str">
        <f t="shared" si="0"/>
        <v>Havy Discount</v>
      </c>
      <c r="Q65" s="1" t="str" cm="1">
        <f t="array" ref="Q65">_xlfn.IFS(O65&gt;7000,"Exellent Sale",O65&gt;4000,"Good Sale",O65&lt;4000,"Average Sale")</f>
        <v>Average Sale</v>
      </c>
      <c r="R65" s="1" t="str">
        <f t="shared" si="1"/>
        <v>Normal Order</v>
      </c>
    </row>
    <row r="66" spans="1:18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4">
        <v>4991.78</v>
      </c>
      <c r="P66" s="1" t="str">
        <f t="shared" si="0"/>
        <v>Normal Discount</v>
      </c>
      <c r="Q66" s="1" t="str" cm="1">
        <f t="array" ref="Q66">_xlfn.IFS(O66&gt;7000,"Exellent Sale",O66&gt;4000,"Good Sale",O66&lt;4000,"Average Sale")</f>
        <v>Good Sale</v>
      </c>
      <c r="R66" s="1" t="str">
        <f t="shared" si="1"/>
        <v>Normal Order</v>
      </c>
    </row>
    <row r="67" spans="1:18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4">
        <v>28649.8</v>
      </c>
      <c r="P67" s="1" t="str">
        <f t="shared" ref="P67:P130" si="2">IF(N67&gt;10,"Havy Discount","Normal Discount")</f>
        <v>Normal Discount</v>
      </c>
      <c r="Q67" s="1" t="str" cm="1">
        <f t="array" ref="Q67">_xlfn.IFS(O67&gt;7000,"Exellent Sale",O67&gt;4000,"Good Sale",O67&lt;4000,"Average Sale")</f>
        <v>Exellent Sale</v>
      </c>
      <c r="R67" s="1" t="str">
        <f t="shared" ref="R67:R130" si="3">IF(AND(O67&gt;7000,L67&gt;5),"Priority Order","Normal Order")</f>
        <v>Priority Order</v>
      </c>
    </row>
    <row r="68" spans="1:18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4">
        <v>280.61</v>
      </c>
      <c r="P68" s="1" t="str">
        <f t="shared" si="2"/>
        <v>Havy Discount</v>
      </c>
      <c r="Q68" s="1" t="str" cm="1">
        <f t="array" ref="Q68">_xlfn.IFS(O68&gt;7000,"Exellent Sale",O68&gt;4000,"Good Sale",O68&lt;4000,"Average Sale")</f>
        <v>Average Sale</v>
      </c>
      <c r="R68" s="1" t="str">
        <f t="shared" si="3"/>
        <v>Normal Order</v>
      </c>
    </row>
    <row r="69" spans="1:18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4">
        <v>8283.9599999999991</v>
      </c>
      <c r="P69" s="1" t="str">
        <f t="shared" si="2"/>
        <v>Normal Discount</v>
      </c>
      <c r="Q69" s="1" t="str" cm="1">
        <f t="array" ref="Q69">_xlfn.IFS(O69&gt;7000,"Exellent Sale",O69&gt;4000,"Good Sale",O69&lt;4000,"Average Sale")</f>
        <v>Exellent Sale</v>
      </c>
      <c r="R69" s="1" t="str">
        <f t="shared" si="3"/>
        <v>Priority Order</v>
      </c>
    </row>
    <row r="70" spans="1:18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4">
        <v>10470.790000000001</v>
      </c>
      <c r="P70" s="1" t="str">
        <f t="shared" si="2"/>
        <v>Normal Discount</v>
      </c>
      <c r="Q70" s="1" t="str" cm="1">
        <f t="array" ref="Q70">_xlfn.IFS(O70&gt;7000,"Exellent Sale",O70&gt;4000,"Good Sale",O70&lt;4000,"Average Sale")</f>
        <v>Exellent Sale</v>
      </c>
      <c r="R70" s="1" t="str">
        <f t="shared" si="3"/>
        <v>Priority Order</v>
      </c>
    </row>
    <row r="71" spans="1:18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4">
        <v>11558.88</v>
      </c>
      <c r="P71" s="1" t="str">
        <f t="shared" si="2"/>
        <v>Havy Discount</v>
      </c>
      <c r="Q71" s="1" t="str" cm="1">
        <f t="array" ref="Q71">_xlfn.IFS(O71&gt;7000,"Exellent Sale",O71&gt;4000,"Good Sale",O71&lt;4000,"Average Sale")</f>
        <v>Exellent Sale</v>
      </c>
      <c r="R71" s="1" t="str">
        <f t="shared" si="3"/>
        <v>Normal Order</v>
      </c>
    </row>
    <row r="72" spans="1:18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4">
        <v>10985.92</v>
      </c>
      <c r="P72" s="1" t="str">
        <f t="shared" si="2"/>
        <v>Normal Discount</v>
      </c>
      <c r="Q72" s="1" t="str" cm="1">
        <f t="array" ref="Q72">_xlfn.IFS(O72&gt;7000,"Exellent Sale",O72&gt;4000,"Good Sale",O72&lt;4000,"Average Sale")</f>
        <v>Exellent Sale</v>
      </c>
      <c r="R72" s="1" t="str">
        <f t="shared" si="3"/>
        <v>Normal Order</v>
      </c>
    </row>
    <row r="73" spans="1:18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4">
        <v>4742.59</v>
      </c>
      <c r="P73" s="1" t="str">
        <f t="shared" si="2"/>
        <v>Havy Discount</v>
      </c>
      <c r="Q73" s="1" t="str" cm="1">
        <f t="array" ref="Q73">_xlfn.IFS(O73&gt;7000,"Exellent Sale",O73&gt;4000,"Good Sale",O73&lt;4000,"Average Sale")</f>
        <v>Good Sale</v>
      </c>
      <c r="R73" s="1" t="str">
        <f t="shared" si="3"/>
        <v>Normal Order</v>
      </c>
    </row>
    <row r="74" spans="1:18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4">
        <v>2885.73</v>
      </c>
      <c r="P74" s="1" t="str">
        <f t="shared" si="2"/>
        <v>Normal Discount</v>
      </c>
      <c r="Q74" s="1" t="str" cm="1">
        <f t="array" ref="Q74">_xlfn.IFS(O74&gt;7000,"Exellent Sale",O74&gt;4000,"Good Sale",O74&lt;4000,"Average Sale")</f>
        <v>Average Sale</v>
      </c>
      <c r="R74" s="1" t="str">
        <f t="shared" si="3"/>
        <v>Normal Order</v>
      </c>
    </row>
    <row r="75" spans="1:18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4">
        <v>6590.67</v>
      </c>
      <c r="P75" s="1" t="str">
        <f t="shared" si="2"/>
        <v>Normal Discount</v>
      </c>
      <c r="Q75" s="1" t="str" cm="1">
        <f t="array" ref="Q75">_xlfn.IFS(O75&gt;7000,"Exellent Sale",O75&gt;4000,"Good Sale",O75&lt;4000,"Average Sale")</f>
        <v>Good Sale</v>
      </c>
      <c r="R75" s="1" t="str">
        <f t="shared" si="3"/>
        <v>Normal Order</v>
      </c>
    </row>
    <row r="76" spans="1:18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4">
        <v>8881.84</v>
      </c>
      <c r="P76" s="1" t="str">
        <f t="shared" si="2"/>
        <v>Normal Discount</v>
      </c>
      <c r="Q76" s="1" t="str" cm="1">
        <f t="array" ref="Q76">_xlfn.IFS(O76&gt;7000,"Exellent Sale",O76&gt;4000,"Good Sale",O76&lt;4000,"Average Sale")</f>
        <v>Exellent Sale</v>
      </c>
      <c r="R76" s="1" t="str">
        <f t="shared" si="3"/>
        <v>Normal Order</v>
      </c>
    </row>
    <row r="77" spans="1:18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4">
        <v>4882.72</v>
      </c>
      <c r="P77" s="1" t="str">
        <f t="shared" si="2"/>
        <v>Havy Discount</v>
      </c>
      <c r="Q77" s="1" t="str" cm="1">
        <f t="array" ref="Q77">_xlfn.IFS(O77&gt;7000,"Exellent Sale",O77&gt;4000,"Good Sale",O77&lt;4000,"Average Sale")</f>
        <v>Good Sale</v>
      </c>
      <c r="R77" s="1" t="str">
        <f t="shared" si="3"/>
        <v>Normal Order</v>
      </c>
    </row>
    <row r="78" spans="1:18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4">
        <v>2660.26</v>
      </c>
      <c r="P78" s="1" t="str">
        <f t="shared" si="2"/>
        <v>Normal Discount</v>
      </c>
      <c r="Q78" s="1" t="str" cm="1">
        <f t="array" ref="Q78">_xlfn.IFS(O78&gt;7000,"Exellent Sale",O78&gt;4000,"Good Sale",O78&lt;4000,"Average Sale")</f>
        <v>Average Sale</v>
      </c>
      <c r="R78" s="1" t="str">
        <f t="shared" si="3"/>
        <v>Normal Order</v>
      </c>
    </row>
    <row r="79" spans="1:18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4">
        <v>6419.98</v>
      </c>
      <c r="P79" s="1" t="str">
        <f t="shared" si="2"/>
        <v>Havy Discount</v>
      </c>
      <c r="Q79" s="1" t="str" cm="1">
        <f t="array" ref="Q79">_xlfn.IFS(O79&gt;7000,"Exellent Sale",O79&gt;4000,"Good Sale",O79&lt;4000,"Average Sale")</f>
        <v>Good Sale</v>
      </c>
      <c r="R79" s="1" t="str">
        <f t="shared" si="3"/>
        <v>Normal Order</v>
      </c>
    </row>
    <row r="80" spans="1:18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4">
        <v>9740.4</v>
      </c>
      <c r="P80" s="1" t="str">
        <f t="shared" si="2"/>
        <v>Havy Discount</v>
      </c>
      <c r="Q80" s="1" t="str" cm="1">
        <f t="array" ref="Q80">_xlfn.IFS(O80&gt;7000,"Exellent Sale",O80&gt;4000,"Good Sale",O80&lt;4000,"Average Sale")</f>
        <v>Exellent Sale</v>
      </c>
      <c r="R80" s="1" t="str">
        <f t="shared" si="3"/>
        <v>Normal Order</v>
      </c>
    </row>
    <row r="81" spans="1:18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4">
        <v>708.07</v>
      </c>
      <c r="P81" s="1" t="str">
        <f t="shared" si="2"/>
        <v>Normal Discount</v>
      </c>
      <c r="Q81" s="1" t="str" cm="1">
        <f t="array" ref="Q81">_xlfn.IFS(O81&gt;7000,"Exellent Sale",O81&gt;4000,"Good Sale",O81&lt;4000,"Average Sale")</f>
        <v>Average Sale</v>
      </c>
      <c r="R81" s="1" t="str">
        <f t="shared" si="3"/>
        <v>Normal Order</v>
      </c>
    </row>
    <row r="82" spans="1:18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4">
        <v>21857.46</v>
      </c>
      <c r="P82" s="1" t="str">
        <f t="shared" si="2"/>
        <v>Normal Discount</v>
      </c>
      <c r="Q82" s="1" t="str" cm="1">
        <f t="array" ref="Q82">_xlfn.IFS(O82&gt;7000,"Exellent Sale",O82&gt;4000,"Good Sale",O82&lt;4000,"Average Sale")</f>
        <v>Exellent Sale</v>
      </c>
      <c r="R82" s="1" t="str">
        <f t="shared" si="3"/>
        <v>Priority Order</v>
      </c>
    </row>
    <row r="83" spans="1:18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4">
        <v>4510.1400000000003</v>
      </c>
      <c r="P83" s="1" t="str">
        <f t="shared" si="2"/>
        <v>Normal Discount</v>
      </c>
      <c r="Q83" s="1" t="str" cm="1">
        <f t="array" ref="Q83">_xlfn.IFS(O83&gt;7000,"Exellent Sale",O83&gt;4000,"Good Sale",O83&lt;4000,"Average Sale")</f>
        <v>Good Sale</v>
      </c>
      <c r="R83" s="1" t="str">
        <f t="shared" si="3"/>
        <v>Normal Order</v>
      </c>
    </row>
    <row r="84" spans="1:18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4">
        <v>7579.78</v>
      </c>
      <c r="P84" s="1" t="str">
        <f t="shared" si="2"/>
        <v>Normal Discount</v>
      </c>
      <c r="Q84" s="1" t="str" cm="1">
        <f t="array" ref="Q84">_xlfn.IFS(O84&gt;7000,"Exellent Sale",O84&gt;4000,"Good Sale",O84&lt;4000,"Average Sale")</f>
        <v>Exellent Sale</v>
      </c>
      <c r="R84" s="1" t="str">
        <f t="shared" si="3"/>
        <v>Priority Order</v>
      </c>
    </row>
    <row r="85" spans="1:18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4">
        <v>3432.58</v>
      </c>
      <c r="P85" s="1" t="str">
        <f t="shared" si="2"/>
        <v>Havy Discount</v>
      </c>
      <c r="Q85" s="1" t="str" cm="1">
        <f t="array" ref="Q85">_xlfn.IFS(O85&gt;7000,"Exellent Sale",O85&gt;4000,"Good Sale",O85&lt;4000,"Average Sale")</f>
        <v>Average Sale</v>
      </c>
      <c r="R85" s="1" t="str">
        <f t="shared" si="3"/>
        <v>Normal Order</v>
      </c>
    </row>
    <row r="86" spans="1:18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4">
        <v>2307.15</v>
      </c>
      <c r="P86" s="1" t="str">
        <f t="shared" si="2"/>
        <v>Havy Discount</v>
      </c>
      <c r="Q86" s="1" t="str" cm="1">
        <f t="array" ref="Q86">_xlfn.IFS(O86&gt;7000,"Exellent Sale",O86&gt;4000,"Good Sale",O86&lt;4000,"Average Sale")</f>
        <v>Average Sale</v>
      </c>
      <c r="R86" s="1" t="str">
        <f t="shared" si="3"/>
        <v>Normal Order</v>
      </c>
    </row>
    <row r="87" spans="1:18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4">
        <v>1659.39</v>
      </c>
      <c r="P87" s="1" t="str">
        <f t="shared" si="2"/>
        <v>Havy Discount</v>
      </c>
      <c r="Q87" s="1" t="str" cm="1">
        <f t="array" ref="Q87">_xlfn.IFS(O87&gt;7000,"Exellent Sale",O87&gt;4000,"Good Sale",O87&lt;4000,"Average Sale")</f>
        <v>Average Sale</v>
      </c>
      <c r="R87" s="1" t="str">
        <f t="shared" si="3"/>
        <v>Normal Order</v>
      </c>
    </row>
    <row r="88" spans="1:18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4">
        <v>9131.25</v>
      </c>
      <c r="P88" s="1" t="str">
        <f t="shared" si="2"/>
        <v>Normal Discount</v>
      </c>
      <c r="Q88" s="1" t="str" cm="1">
        <f t="array" ref="Q88">_xlfn.IFS(O88&gt;7000,"Exellent Sale",O88&gt;4000,"Good Sale",O88&lt;4000,"Average Sale")</f>
        <v>Exellent Sale</v>
      </c>
      <c r="R88" s="1" t="str">
        <f t="shared" si="3"/>
        <v>Priority Order</v>
      </c>
    </row>
    <row r="89" spans="1:18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4">
        <v>9310.56</v>
      </c>
      <c r="P89" s="1" t="str">
        <f t="shared" si="2"/>
        <v>Havy Discount</v>
      </c>
      <c r="Q89" s="1" t="str" cm="1">
        <f t="array" ref="Q89">_xlfn.IFS(O89&gt;7000,"Exellent Sale",O89&gt;4000,"Good Sale",O89&lt;4000,"Average Sale")</f>
        <v>Exellent Sale</v>
      </c>
      <c r="R89" s="1" t="str">
        <f t="shared" si="3"/>
        <v>Normal Order</v>
      </c>
    </row>
    <row r="90" spans="1:18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4">
        <v>3132.05</v>
      </c>
      <c r="P90" s="1" t="str">
        <f t="shared" si="2"/>
        <v>Normal Discount</v>
      </c>
      <c r="Q90" s="1" t="str" cm="1">
        <f t="array" ref="Q90">_xlfn.IFS(O90&gt;7000,"Exellent Sale",O90&gt;4000,"Good Sale",O90&lt;4000,"Average Sale")</f>
        <v>Average Sale</v>
      </c>
      <c r="R90" s="1" t="str">
        <f t="shared" si="3"/>
        <v>Normal Order</v>
      </c>
    </row>
    <row r="91" spans="1:18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4">
        <v>6437.39</v>
      </c>
      <c r="P91" s="1" t="str">
        <f t="shared" si="2"/>
        <v>Normal Discount</v>
      </c>
      <c r="Q91" s="1" t="str" cm="1">
        <f t="array" ref="Q91">_xlfn.IFS(O91&gt;7000,"Exellent Sale",O91&gt;4000,"Good Sale",O91&lt;4000,"Average Sale")</f>
        <v>Good Sale</v>
      </c>
      <c r="R91" s="1" t="str">
        <f t="shared" si="3"/>
        <v>Normal Order</v>
      </c>
    </row>
    <row r="92" spans="1:18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4">
        <v>15167.34</v>
      </c>
      <c r="P92" s="1" t="str">
        <f t="shared" si="2"/>
        <v>Normal Discount</v>
      </c>
      <c r="Q92" s="1" t="str" cm="1">
        <f t="array" ref="Q92">_xlfn.IFS(O92&gt;7000,"Exellent Sale",O92&gt;4000,"Good Sale",O92&lt;4000,"Average Sale")</f>
        <v>Exellent Sale</v>
      </c>
      <c r="R92" s="1" t="str">
        <f t="shared" si="3"/>
        <v>Normal Order</v>
      </c>
    </row>
    <row r="93" spans="1:18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4">
        <v>978.49</v>
      </c>
      <c r="P93" s="1" t="str">
        <f t="shared" si="2"/>
        <v>Normal Discount</v>
      </c>
      <c r="Q93" s="1" t="str" cm="1">
        <f t="array" ref="Q93">_xlfn.IFS(O93&gt;7000,"Exellent Sale",O93&gt;4000,"Good Sale",O93&lt;4000,"Average Sale")</f>
        <v>Average Sale</v>
      </c>
      <c r="R93" s="1" t="str">
        <f t="shared" si="3"/>
        <v>Normal Order</v>
      </c>
    </row>
    <row r="94" spans="1:18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4">
        <v>13959.07</v>
      </c>
      <c r="P94" s="1" t="str">
        <f t="shared" si="2"/>
        <v>Havy Discount</v>
      </c>
      <c r="Q94" s="1" t="str" cm="1">
        <f t="array" ref="Q94">_xlfn.IFS(O94&gt;7000,"Exellent Sale",O94&gt;4000,"Good Sale",O94&lt;4000,"Average Sale")</f>
        <v>Exellent Sale</v>
      </c>
      <c r="R94" s="1" t="str">
        <f t="shared" si="3"/>
        <v>Priority Order</v>
      </c>
    </row>
    <row r="95" spans="1:18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4">
        <v>5801.47</v>
      </c>
      <c r="P95" s="1" t="str">
        <f t="shared" si="2"/>
        <v>Normal Discount</v>
      </c>
      <c r="Q95" s="1" t="str" cm="1">
        <f t="array" ref="Q95">_xlfn.IFS(O95&gt;7000,"Exellent Sale",O95&gt;4000,"Good Sale",O95&lt;4000,"Average Sale")</f>
        <v>Good Sale</v>
      </c>
      <c r="R95" s="1" t="str">
        <f t="shared" si="3"/>
        <v>Normal Order</v>
      </c>
    </row>
    <row r="96" spans="1:18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4">
        <v>3695.92</v>
      </c>
      <c r="P96" s="1" t="str">
        <f t="shared" si="2"/>
        <v>Normal Discount</v>
      </c>
      <c r="Q96" s="1" t="str" cm="1">
        <f t="array" ref="Q96">_xlfn.IFS(O96&gt;7000,"Exellent Sale",O96&gt;4000,"Good Sale",O96&lt;4000,"Average Sale")</f>
        <v>Average Sale</v>
      </c>
      <c r="R96" s="1" t="str">
        <f t="shared" si="3"/>
        <v>Normal Order</v>
      </c>
    </row>
    <row r="97" spans="1:18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4">
        <v>2249.89</v>
      </c>
      <c r="P97" s="1" t="str">
        <f t="shared" si="2"/>
        <v>Normal Discount</v>
      </c>
      <c r="Q97" s="1" t="str" cm="1">
        <f t="array" ref="Q97">_xlfn.IFS(O97&gt;7000,"Exellent Sale",O97&gt;4000,"Good Sale",O97&lt;4000,"Average Sale")</f>
        <v>Average Sale</v>
      </c>
      <c r="R97" s="1" t="str">
        <f t="shared" si="3"/>
        <v>Normal Order</v>
      </c>
    </row>
    <row r="98" spans="1:18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4">
        <v>4290.3</v>
      </c>
      <c r="P98" s="1" t="str">
        <f t="shared" si="2"/>
        <v>Normal Discount</v>
      </c>
      <c r="Q98" s="1" t="str" cm="1">
        <f t="array" ref="Q98">_xlfn.IFS(O98&gt;7000,"Exellent Sale",O98&gt;4000,"Good Sale",O98&lt;4000,"Average Sale")</f>
        <v>Good Sale</v>
      </c>
      <c r="R98" s="1" t="str">
        <f t="shared" si="3"/>
        <v>Normal Order</v>
      </c>
    </row>
    <row r="99" spans="1:18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4">
        <v>4631.07</v>
      </c>
      <c r="P99" s="1" t="str">
        <f t="shared" si="2"/>
        <v>Havy Discount</v>
      </c>
      <c r="Q99" s="1" t="str" cm="1">
        <f t="array" ref="Q99">_xlfn.IFS(O99&gt;7000,"Exellent Sale",O99&gt;4000,"Good Sale",O99&lt;4000,"Average Sale")</f>
        <v>Good Sale</v>
      </c>
      <c r="R99" s="1" t="str">
        <f t="shared" si="3"/>
        <v>Normal Order</v>
      </c>
    </row>
    <row r="100" spans="1:18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4">
        <v>757.8</v>
      </c>
      <c r="P100" s="1" t="str">
        <f t="shared" si="2"/>
        <v>Havy Discount</v>
      </c>
      <c r="Q100" s="1" t="str" cm="1">
        <f t="array" ref="Q100">_xlfn.IFS(O100&gt;7000,"Exellent Sale",O100&gt;4000,"Good Sale",O100&lt;4000,"Average Sale")</f>
        <v>Average Sale</v>
      </c>
      <c r="R100" s="1" t="str">
        <f t="shared" si="3"/>
        <v>Normal Order</v>
      </c>
    </row>
    <row r="101" spans="1:18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4">
        <v>19887.27</v>
      </c>
      <c r="P101" s="1" t="str">
        <f t="shared" si="2"/>
        <v>Normal Discount</v>
      </c>
      <c r="Q101" s="1" t="str" cm="1">
        <f t="array" ref="Q101">_xlfn.IFS(O101&gt;7000,"Exellent Sale",O101&gt;4000,"Good Sale",O101&lt;4000,"Average Sale")</f>
        <v>Exellent Sale</v>
      </c>
      <c r="R101" s="1" t="str">
        <f t="shared" si="3"/>
        <v>Priority Order</v>
      </c>
    </row>
    <row r="102" spans="1:18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4">
        <v>11445.62</v>
      </c>
      <c r="P102" s="1" t="str">
        <f t="shared" si="2"/>
        <v>Havy Discount</v>
      </c>
      <c r="Q102" s="1" t="str" cm="1">
        <f t="array" ref="Q102">_xlfn.IFS(O102&gt;7000,"Exellent Sale",O102&gt;4000,"Good Sale",O102&lt;4000,"Average Sale")</f>
        <v>Exellent Sale</v>
      </c>
      <c r="R102" s="1" t="str">
        <f t="shared" si="3"/>
        <v>Priority Order</v>
      </c>
    </row>
    <row r="103" spans="1:18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4">
        <v>2974.45</v>
      </c>
      <c r="P103" s="1" t="str">
        <f t="shared" si="2"/>
        <v>Havy Discount</v>
      </c>
      <c r="Q103" s="1" t="str" cm="1">
        <f t="array" ref="Q103">_xlfn.IFS(O103&gt;7000,"Exellent Sale",O103&gt;4000,"Good Sale",O103&lt;4000,"Average Sale")</f>
        <v>Average Sale</v>
      </c>
      <c r="R103" s="1" t="str">
        <f t="shared" si="3"/>
        <v>Normal Order</v>
      </c>
    </row>
    <row r="104" spans="1:18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4">
        <v>20105.900000000001</v>
      </c>
      <c r="P104" s="1" t="str">
        <f t="shared" si="2"/>
        <v>Havy Discount</v>
      </c>
      <c r="Q104" s="1" t="str" cm="1">
        <f t="array" ref="Q104">_xlfn.IFS(O104&gt;7000,"Exellent Sale",O104&gt;4000,"Good Sale",O104&lt;4000,"Average Sale")</f>
        <v>Exellent Sale</v>
      </c>
      <c r="R104" s="1" t="str">
        <f t="shared" si="3"/>
        <v>Priority Order</v>
      </c>
    </row>
    <row r="105" spans="1:18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4">
        <v>12075.79</v>
      </c>
      <c r="P105" s="1" t="str">
        <f t="shared" si="2"/>
        <v>Normal Discount</v>
      </c>
      <c r="Q105" s="1" t="str" cm="1">
        <f t="array" ref="Q105">_xlfn.IFS(O105&gt;7000,"Exellent Sale",O105&gt;4000,"Good Sale",O105&lt;4000,"Average Sale")</f>
        <v>Exellent Sale</v>
      </c>
      <c r="R105" s="1" t="str">
        <f t="shared" si="3"/>
        <v>Normal Order</v>
      </c>
    </row>
    <row r="106" spans="1:18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4">
        <v>814.63</v>
      </c>
      <c r="P106" s="1" t="str">
        <f t="shared" si="2"/>
        <v>Normal Discount</v>
      </c>
      <c r="Q106" s="1" t="str" cm="1">
        <f t="array" ref="Q106">_xlfn.IFS(O106&gt;7000,"Exellent Sale",O106&gt;4000,"Good Sale",O106&lt;4000,"Average Sale")</f>
        <v>Average Sale</v>
      </c>
      <c r="R106" s="1" t="str">
        <f t="shared" si="3"/>
        <v>Normal Order</v>
      </c>
    </row>
    <row r="107" spans="1:18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4">
        <v>10776.48</v>
      </c>
      <c r="P107" s="1" t="str">
        <f t="shared" si="2"/>
        <v>Normal Discount</v>
      </c>
      <c r="Q107" s="1" t="str" cm="1">
        <f t="array" ref="Q107">_xlfn.IFS(O107&gt;7000,"Exellent Sale",O107&gt;4000,"Good Sale",O107&lt;4000,"Average Sale")</f>
        <v>Exellent Sale</v>
      </c>
      <c r="R107" s="1" t="str">
        <f t="shared" si="3"/>
        <v>Normal Order</v>
      </c>
    </row>
    <row r="108" spans="1:18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4">
        <v>4517.79</v>
      </c>
      <c r="P108" s="1" t="str">
        <f t="shared" si="2"/>
        <v>Havy Discount</v>
      </c>
      <c r="Q108" s="1" t="str" cm="1">
        <f t="array" ref="Q108">_xlfn.IFS(O108&gt;7000,"Exellent Sale",O108&gt;4000,"Good Sale",O108&lt;4000,"Average Sale")</f>
        <v>Good Sale</v>
      </c>
      <c r="R108" s="1" t="str">
        <f t="shared" si="3"/>
        <v>Normal Order</v>
      </c>
    </row>
    <row r="109" spans="1:18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4">
        <v>959.33</v>
      </c>
      <c r="P109" s="1" t="str">
        <f t="shared" si="2"/>
        <v>Havy Discount</v>
      </c>
      <c r="Q109" s="1" t="str" cm="1">
        <f t="array" ref="Q109">_xlfn.IFS(O109&gt;7000,"Exellent Sale",O109&gt;4000,"Good Sale",O109&lt;4000,"Average Sale")</f>
        <v>Average Sale</v>
      </c>
      <c r="R109" s="1" t="str">
        <f t="shared" si="3"/>
        <v>Normal Order</v>
      </c>
    </row>
    <row r="110" spans="1:18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4">
        <v>11186.24</v>
      </c>
      <c r="P110" s="1" t="str">
        <f t="shared" si="2"/>
        <v>Normal Discount</v>
      </c>
      <c r="Q110" s="1" t="str" cm="1">
        <f t="array" ref="Q110">_xlfn.IFS(O110&gt;7000,"Exellent Sale",O110&gt;4000,"Good Sale",O110&lt;4000,"Average Sale")</f>
        <v>Exellent Sale</v>
      </c>
      <c r="R110" s="1" t="str">
        <f t="shared" si="3"/>
        <v>Normal Order</v>
      </c>
    </row>
    <row r="111" spans="1:18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4">
        <v>9968.83</v>
      </c>
      <c r="P111" s="1" t="str">
        <f t="shared" si="2"/>
        <v>Havy Discount</v>
      </c>
      <c r="Q111" s="1" t="str" cm="1">
        <f t="array" ref="Q111">_xlfn.IFS(O111&gt;7000,"Exellent Sale",O111&gt;4000,"Good Sale",O111&lt;4000,"Average Sale")</f>
        <v>Exellent Sale</v>
      </c>
      <c r="R111" s="1" t="str">
        <f t="shared" si="3"/>
        <v>Priority Order</v>
      </c>
    </row>
    <row r="112" spans="1:18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4">
        <v>1638.02</v>
      </c>
      <c r="P112" s="1" t="str">
        <f t="shared" si="2"/>
        <v>Normal Discount</v>
      </c>
      <c r="Q112" s="1" t="str" cm="1">
        <f t="array" ref="Q112">_xlfn.IFS(O112&gt;7000,"Exellent Sale",O112&gt;4000,"Good Sale",O112&lt;4000,"Average Sale")</f>
        <v>Average Sale</v>
      </c>
      <c r="R112" s="1" t="str">
        <f t="shared" si="3"/>
        <v>Normal Order</v>
      </c>
    </row>
    <row r="113" spans="1:18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4">
        <v>3553.89</v>
      </c>
      <c r="P113" s="1" t="str">
        <f t="shared" si="2"/>
        <v>Havy Discount</v>
      </c>
      <c r="Q113" s="1" t="str" cm="1">
        <f t="array" ref="Q113">_xlfn.IFS(O113&gt;7000,"Exellent Sale",O113&gt;4000,"Good Sale",O113&lt;4000,"Average Sale")</f>
        <v>Average Sale</v>
      </c>
      <c r="R113" s="1" t="str">
        <f t="shared" si="3"/>
        <v>Normal Order</v>
      </c>
    </row>
    <row r="114" spans="1:18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4">
        <v>10837.3</v>
      </c>
      <c r="P114" s="1" t="str">
        <f t="shared" si="2"/>
        <v>Havy Discount</v>
      </c>
      <c r="Q114" s="1" t="str" cm="1">
        <f t="array" ref="Q114">_xlfn.IFS(O114&gt;7000,"Exellent Sale",O114&gt;4000,"Good Sale",O114&lt;4000,"Average Sale")</f>
        <v>Exellent Sale</v>
      </c>
      <c r="R114" s="1" t="str">
        <f t="shared" si="3"/>
        <v>Priority Order</v>
      </c>
    </row>
    <row r="115" spans="1:18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4">
        <v>9771.68</v>
      </c>
      <c r="P115" s="1" t="str">
        <f t="shared" si="2"/>
        <v>Normal Discount</v>
      </c>
      <c r="Q115" s="1" t="str" cm="1">
        <f t="array" ref="Q115">_xlfn.IFS(O115&gt;7000,"Exellent Sale",O115&gt;4000,"Good Sale",O115&lt;4000,"Average Sale")</f>
        <v>Exellent Sale</v>
      </c>
      <c r="R115" s="1" t="str">
        <f t="shared" si="3"/>
        <v>Priority Order</v>
      </c>
    </row>
    <row r="116" spans="1:18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4">
        <v>7242.18</v>
      </c>
      <c r="P116" s="1" t="str">
        <f t="shared" si="2"/>
        <v>Normal Discount</v>
      </c>
      <c r="Q116" s="1" t="str" cm="1">
        <f t="array" ref="Q116">_xlfn.IFS(O116&gt;7000,"Exellent Sale",O116&gt;4000,"Good Sale",O116&lt;4000,"Average Sale")</f>
        <v>Exellent Sale</v>
      </c>
      <c r="R116" s="1" t="str">
        <f t="shared" si="3"/>
        <v>Normal Order</v>
      </c>
    </row>
    <row r="117" spans="1:18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4">
        <v>5822.31</v>
      </c>
      <c r="P117" s="1" t="str">
        <f t="shared" si="2"/>
        <v>Havy Discount</v>
      </c>
      <c r="Q117" s="1" t="str" cm="1">
        <f t="array" ref="Q117">_xlfn.IFS(O117&gt;7000,"Exellent Sale",O117&gt;4000,"Good Sale",O117&lt;4000,"Average Sale")</f>
        <v>Good Sale</v>
      </c>
      <c r="R117" s="1" t="str">
        <f t="shared" si="3"/>
        <v>Normal Order</v>
      </c>
    </row>
    <row r="118" spans="1:18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4">
        <v>17062.900000000001</v>
      </c>
      <c r="P118" s="1" t="str">
        <f t="shared" si="2"/>
        <v>Havy Discount</v>
      </c>
      <c r="Q118" s="1" t="str" cm="1">
        <f t="array" ref="Q118">_xlfn.IFS(O118&gt;7000,"Exellent Sale",O118&gt;4000,"Good Sale",O118&lt;4000,"Average Sale")</f>
        <v>Exellent Sale</v>
      </c>
      <c r="R118" s="1" t="str">
        <f t="shared" si="3"/>
        <v>Priority Order</v>
      </c>
    </row>
    <row r="119" spans="1:18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4">
        <v>3685.94</v>
      </c>
      <c r="P119" s="1" t="str">
        <f t="shared" si="2"/>
        <v>Havy Discount</v>
      </c>
      <c r="Q119" s="1" t="str" cm="1">
        <f t="array" ref="Q119">_xlfn.IFS(O119&gt;7000,"Exellent Sale",O119&gt;4000,"Good Sale",O119&lt;4000,"Average Sale")</f>
        <v>Average Sale</v>
      </c>
      <c r="R119" s="1" t="str">
        <f t="shared" si="3"/>
        <v>Normal Order</v>
      </c>
    </row>
    <row r="120" spans="1:18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4">
        <v>26717.439999999999</v>
      </c>
      <c r="P120" s="1" t="str">
        <f t="shared" si="2"/>
        <v>Normal Discount</v>
      </c>
      <c r="Q120" s="1" t="str" cm="1">
        <f t="array" ref="Q120">_xlfn.IFS(O120&gt;7000,"Exellent Sale",O120&gt;4000,"Good Sale",O120&lt;4000,"Average Sale")</f>
        <v>Exellent Sale</v>
      </c>
      <c r="R120" s="1" t="str">
        <f t="shared" si="3"/>
        <v>Priority Order</v>
      </c>
    </row>
    <row r="121" spans="1:18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4">
        <v>19248.16</v>
      </c>
      <c r="P121" s="1" t="str">
        <f t="shared" si="2"/>
        <v>Normal Discount</v>
      </c>
      <c r="Q121" s="1" t="str" cm="1">
        <f t="array" ref="Q121">_xlfn.IFS(O121&gt;7000,"Exellent Sale",O121&gt;4000,"Good Sale",O121&lt;4000,"Average Sale")</f>
        <v>Exellent Sale</v>
      </c>
      <c r="R121" s="1" t="str">
        <f t="shared" si="3"/>
        <v>Priority Order</v>
      </c>
    </row>
    <row r="122" spans="1:18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4">
        <v>14161.4</v>
      </c>
      <c r="P122" s="1" t="str">
        <f t="shared" si="2"/>
        <v>Normal Discount</v>
      </c>
      <c r="Q122" s="1" t="str" cm="1">
        <f t="array" ref="Q122">_xlfn.IFS(O122&gt;7000,"Exellent Sale",O122&gt;4000,"Good Sale",O122&lt;4000,"Average Sale")</f>
        <v>Exellent Sale</v>
      </c>
      <c r="R122" s="1" t="str">
        <f t="shared" si="3"/>
        <v>Normal Order</v>
      </c>
    </row>
    <row r="123" spans="1:18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4">
        <v>6993.65</v>
      </c>
      <c r="P123" s="1" t="str">
        <f t="shared" si="2"/>
        <v>Normal Discount</v>
      </c>
      <c r="Q123" s="1" t="str" cm="1">
        <f t="array" ref="Q123">_xlfn.IFS(O123&gt;7000,"Exellent Sale",O123&gt;4000,"Good Sale",O123&lt;4000,"Average Sale")</f>
        <v>Good Sale</v>
      </c>
      <c r="R123" s="1" t="str">
        <f t="shared" si="3"/>
        <v>Normal Order</v>
      </c>
    </row>
    <row r="124" spans="1:18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4">
        <v>5882.8</v>
      </c>
      <c r="P124" s="1" t="str">
        <f t="shared" si="2"/>
        <v>Havy Discount</v>
      </c>
      <c r="Q124" s="1" t="str" cm="1">
        <f t="array" ref="Q124">_xlfn.IFS(O124&gt;7000,"Exellent Sale",O124&gt;4000,"Good Sale",O124&lt;4000,"Average Sale")</f>
        <v>Good Sale</v>
      </c>
      <c r="R124" s="1" t="str">
        <f t="shared" si="3"/>
        <v>Normal Order</v>
      </c>
    </row>
    <row r="125" spans="1:18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4">
        <v>7358.61</v>
      </c>
      <c r="P125" s="1" t="str">
        <f t="shared" si="2"/>
        <v>Havy Discount</v>
      </c>
      <c r="Q125" s="1" t="str" cm="1">
        <f t="array" ref="Q125">_xlfn.IFS(O125&gt;7000,"Exellent Sale",O125&gt;4000,"Good Sale",O125&lt;4000,"Average Sale")</f>
        <v>Exellent Sale</v>
      </c>
      <c r="R125" s="1" t="str">
        <f t="shared" si="3"/>
        <v>Priority Order</v>
      </c>
    </row>
    <row r="126" spans="1:18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4">
        <v>31051.71</v>
      </c>
      <c r="P126" s="1" t="str">
        <f t="shared" si="2"/>
        <v>Normal Discount</v>
      </c>
      <c r="Q126" s="1" t="str" cm="1">
        <f t="array" ref="Q126">_xlfn.IFS(O126&gt;7000,"Exellent Sale",O126&gt;4000,"Good Sale",O126&lt;4000,"Average Sale")</f>
        <v>Exellent Sale</v>
      </c>
      <c r="R126" s="1" t="str">
        <f t="shared" si="3"/>
        <v>Priority Order</v>
      </c>
    </row>
    <row r="127" spans="1:18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4">
        <v>28288.87</v>
      </c>
      <c r="P127" s="1" t="str">
        <f t="shared" si="2"/>
        <v>Normal Discount</v>
      </c>
      <c r="Q127" s="1" t="str" cm="1">
        <f t="array" ref="Q127">_xlfn.IFS(O127&gt;7000,"Exellent Sale",O127&gt;4000,"Good Sale",O127&lt;4000,"Average Sale")</f>
        <v>Exellent Sale</v>
      </c>
      <c r="R127" s="1" t="str">
        <f t="shared" si="3"/>
        <v>Priority Order</v>
      </c>
    </row>
    <row r="128" spans="1:18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4">
        <v>9969.5300000000007</v>
      </c>
      <c r="P128" s="1" t="str">
        <f t="shared" si="2"/>
        <v>Normal Discount</v>
      </c>
      <c r="Q128" s="1" t="str" cm="1">
        <f t="array" ref="Q128">_xlfn.IFS(O128&gt;7000,"Exellent Sale",O128&gt;4000,"Good Sale",O128&lt;4000,"Average Sale")</f>
        <v>Exellent Sale</v>
      </c>
      <c r="R128" s="1" t="str">
        <f t="shared" si="3"/>
        <v>Priority Order</v>
      </c>
    </row>
    <row r="129" spans="1:18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4">
        <v>3958.56</v>
      </c>
      <c r="P129" s="1" t="str">
        <f t="shared" si="2"/>
        <v>Normal Discount</v>
      </c>
      <c r="Q129" s="1" t="str" cm="1">
        <f t="array" ref="Q129">_xlfn.IFS(O129&gt;7000,"Exellent Sale",O129&gt;4000,"Good Sale",O129&lt;4000,"Average Sale")</f>
        <v>Average Sale</v>
      </c>
      <c r="R129" s="1" t="str">
        <f t="shared" si="3"/>
        <v>Normal Order</v>
      </c>
    </row>
    <row r="130" spans="1:18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4">
        <v>4865.01</v>
      </c>
      <c r="P130" s="1" t="str">
        <f t="shared" si="2"/>
        <v>Normal Discount</v>
      </c>
      <c r="Q130" s="1" t="str" cm="1">
        <f t="array" ref="Q130">_xlfn.IFS(O130&gt;7000,"Exellent Sale",O130&gt;4000,"Good Sale",O130&lt;4000,"Average Sale")</f>
        <v>Good Sale</v>
      </c>
      <c r="R130" s="1" t="str">
        <f t="shared" si="3"/>
        <v>Normal Order</v>
      </c>
    </row>
    <row r="131" spans="1:18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4">
        <v>2407.75</v>
      </c>
      <c r="P131" s="1" t="str">
        <f t="shared" ref="P131:P194" si="4">IF(N131&gt;10,"Havy Discount","Normal Discount")</f>
        <v>Normal Discount</v>
      </c>
      <c r="Q131" s="1" t="str" cm="1">
        <f t="array" ref="Q131">_xlfn.IFS(O131&gt;7000,"Exellent Sale",O131&gt;4000,"Good Sale",O131&lt;4000,"Average Sale")</f>
        <v>Average Sale</v>
      </c>
      <c r="R131" s="1" t="str">
        <f t="shared" ref="R131:R194" si="5">IF(AND(O131&gt;7000,L131&gt;5),"Priority Order","Normal Order")</f>
        <v>Normal Order</v>
      </c>
    </row>
    <row r="132" spans="1:18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4">
        <v>11301.73</v>
      </c>
      <c r="P132" s="1" t="str">
        <f t="shared" si="4"/>
        <v>Havy Discount</v>
      </c>
      <c r="Q132" s="1" t="str" cm="1">
        <f t="array" ref="Q132">_xlfn.IFS(O132&gt;7000,"Exellent Sale",O132&gt;4000,"Good Sale",O132&lt;4000,"Average Sale")</f>
        <v>Exellent Sale</v>
      </c>
      <c r="R132" s="1" t="str">
        <f t="shared" si="5"/>
        <v>Priority Order</v>
      </c>
    </row>
    <row r="133" spans="1:18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4">
        <v>12614.92</v>
      </c>
      <c r="P133" s="1" t="str">
        <f t="shared" si="4"/>
        <v>Normal Discount</v>
      </c>
      <c r="Q133" s="1" t="str" cm="1">
        <f t="array" ref="Q133">_xlfn.IFS(O133&gt;7000,"Exellent Sale",O133&gt;4000,"Good Sale",O133&lt;4000,"Average Sale")</f>
        <v>Exellent Sale</v>
      </c>
      <c r="R133" s="1" t="str">
        <f t="shared" si="5"/>
        <v>Normal Order</v>
      </c>
    </row>
    <row r="134" spans="1:18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4">
        <v>3990.85</v>
      </c>
      <c r="P134" s="1" t="str">
        <f t="shared" si="4"/>
        <v>Normal Discount</v>
      </c>
      <c r="Q134" s="1" t="str" cm="1">
        <f t="array" ref="Q134">_xlfn.IFS(O134&gt;7000,"Exellent Sale",O134&gt;4000,"Good Sale",O134&lt;4000,"Average Sale")</f>
        <v>Average Sale</v>
      </c>
      <c r="R134" s="1" t="str">
        <f t="shared" si="5"/>
        <v>Normal Order</v>
      </c>
    </row>
    <row r="135" spans="1:18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4">
        <v>6023.85</v>
      </c>
      <c r="P135" s="1" t="str">
        <f t="shared" si="4"/>
        <v>Havy Discount</v>
      </c>
      <c r="Q135" s="1" t="str" cm="1">
        <f t="array" ref="Q135">_xlfn.IFS(O135&gt;7000,"Exellent Sale",O135&gt;4000,"Good Sale",O135&lt;4000,"Average Sale")</f>
        <v>Good Sale</v>
      </c>
      <c r="R135" s="1" t="str">
        <f t="shared" si="5"/>
        <v>Normal Order</v>
      </c>
    </row>
    <row r="136" spans="1:18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4">
        <v>10942.06</v>
      </c>
      <c r="P136" s="1" t="str">
        <f t="shared" si="4"/>
        <v>Normal Discount</v>
      </c>
      <c r="Q136" s="1" t="str" cm="1">
        <f t="array" ref="Q136">_xlfn.IFS(O136&gt;7000,"Exellent Sale",O136&gt;4000,"Good Sale",O136&lt;4000,"Average Sale")</f>
        <v>Exellent Sale</v>
      </c>
      <c r="R136" s="1" t="str">
        <f t="shared" si="5"/>
        <v>Priority Order</v>
      </c>
    </row>
    <row r="137" spans="1:18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4">
        <v>10855.74</v>
      </c>
      <c r="P137" s="1" t="str">
        <f t="shared" si="4"/>
        <v>Normal Discount</v>
      </c>
      <c r="Q137" s="1" t="str" cm="1">
        <f t="array" ref="Q137">_xlfn.IFS(O137&gt;7000,"Exellent Sale",O137&gt;4000,"Good Sale",O137&lt;4000,"Average Sale")</f>
        <v>Exellent Sale</v>
      </c>
      <c r="R137" s="1" t="str">
        <f t="shared" si="5"/>
        <v>Priority Order</v>
      </c>
    </row>
    <row r="138" spans="1:18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4">
        <v>2247.91</v>
      </c>
      <c r="P138" s="1" t="str">
        <f t="shared" si="4"/>
        <v>Havy Discount</v>
      </c>
      <c r="Q138" s="1" t="str" cm="1">
        <f t="array" ref="Q138">_xlfn.IFS(O138&gt;7000,"Exellent Sale",O138&gt;4000,"Good Sale",O138&lt;4000,"Average Sale")</f>
        <v>Average Sale</v>
      </c>
      <c r="R138" s="1" t="str">
        <f t="shared" si="5"/>
        <v>Normal Order</v>
      </c>
    </row>
    <row r="139" spans="1:18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4">
        <v>912.67</v>
      </c>
      <c r="P139" s="1" t="str">
        <f t="shared" si="4"/>
        <v>Normal Discount</v>
      </c>
      <c r="Q139" s="1" t="str" cm="1">
        <f t="array" ref="Q139">_xlfn.IFS(O139&gt;7000,"Exellent Sale",O139&gt;4000,"Good Sale",O139&lt;4000,"Average Sale")</f>
        <v>Average Sale</v>
      </c>
      <c r="R139" s="1" t="str">
        <f t="shared" si="5"/>
        <v>Normal Order</v>
      </c>
    </row>
    <row r="140" spans="1:18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4">
        <v>725.24</v>
      </c>
      <c r="P140" s="1" t="str">
        <f t="shared" si="4"/>
        <v>Normal Discount</v>
      </c>
      <c r="Q140" s="1" t="str" cm="1">
        <f t="array" ref="Q140">_xlfn.IFS(O140&gt;7000,"Exellent Sale",O140&gt;4000,"Good Sale",O140&lt;4000,"Average Sale")</f>
        <v>Average Sale</v>
      </c>
      <c r="R140" s="1" t="str">
        <f t="shared" si="5"/>
        <v>Normal Order</v>
      </c>
    </row>
    <row r="141" spans="1:18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4">
        <v>11409.31</v>
      </c>
      <c r="P141" s="1" t="str">
        <f t="shared" si="4"/>
        <v>Havy Discount</v>
      </c>
      <c r="Q141" s="1" t="str" cm="1">
        <f t="array" ref="Q141">_xlfn.IFS(O141&gt;7000,"Exellent Sale",O141&gt;4000,"Good Sale",O141&lt;4000,"Average Sale")</f>
        <v>Exellent Sale</v>
      </c>
      <c r="R141" s="1" t="str">
        <f t="shared" si="5"/>
        <v>Normal Order</v>
      </c>
    </row>
    <row r="142" spans="1:18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4">
        <v>3179.56</v>
      </c>
      <c r="P142" s="1" t="str">
        <f t="shared" si="4"/>
        <v>Normal Discount</v>
      </c>
      <c r="Q142" s="1" t="str" cm="1">
        <f t="array" ref="Q142">_xlfn.IFS(O142&gt;7000,"Exellent Sale",O142&gt;4000,"Good Sale",O142&lt;4000,"Average Sale")</f>
        <v>Average Sale</v>
      </c>
      <c r="R142" s="1" t="str">
        <f t="shared" si="5"/>
        <v>Normal Order</v>
      </c>
    </row>
    <row r="143" spans="1:18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4">
        <v>2063.0500000000002</v>
      </c>
      <c r="P143" s="1" t="str">
        <f t="shared" si="4"/>
        <v>Normal Discount</v>
      </c>
      <c r="Q143" s="1" t="str" cm="1">
        <f t="array" ref="Q143">_xlfn.IFS(O143&gt;7000,"Exellent Sale",O143&gt;4000,"Good Sale",O143&lt;4000,"Average Sale")</f>
        <v>Average Sale</v>
      </c>
      <c r="R143" s="1" t="str">
        <f t="shared" si="5"/>
        <v>Normal Order</v>
      </c>
    </row>
    <row r="144" spans="1:18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4">
        <v>24473.53</v>
      </c>
      <c r="P144" s="1" t="str">
        <f t="shared" si="4"/>
        <v>Normal Discount</v>
      </c>
      <c r="Q144" s="1" t="str" cm="1">
        <f t="array" ref="Q144">_xlfn.IFS(O144&gt;7000,"Exellent Sale",O144&gt;4000,"Good Sale",O144&lt;4000,"Average Sale")</f>
        <v>Exellent Sale</v>
      </c>
      <c r="R144" s="1" t="str">
        <f t="shared" si="5"/>
        <v>Priority Order</v>
      </c>
    </row>
    <row r="145" spans="1:18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4">
        <v>20087.810000000001</v>
      </c>
      <c r="P145" s="1" t="str">
        <f t="shared" si="4"/>
        <v>Havy Discount</v>
      </c>
      <c r="Q145" s="1" t="str" cm="1">
        <f t="array" ref="Q145">_xlfn.IFS(O145&gt;7000,"Exellent Sale",O145&gt;4000,"Good Sale",O145&lt;4000,"Average Sale")</f>
        <v>Exellent Sale</v>
      </c>
      <c r="R145" s="1" t="str">
        <f t="shared" si="5"/>
        <v>Priority Order</v>
      </c>
    </row>
    <row r="146" spans="1:18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4">
        <v>3523.12</v>
      </c>
      <c r="P146" s="1" t="str">
        <f t="shared" si="4"/>
        <v>Normal Discount</v>
      </c>
      <c r="Q146" s="1" t="str" cm="1">
        <f t="array" ref="Q146">_xlfn.IFS(O146&gt;7000,"Exellent Sale",O146&gt;4000,"Good Sale",O146&lt;4000,"Average Sale")</f>
        <v>Average Sale</v>
      </c>
      <c r="R146" s="1" t="str">
        <f t="shared" si="5"/>
        <v>Normal Order</v>
      </c>
    </row>
    <row r="147" spans="1:18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4">
        <v>7911.36</v>
      </c>
      <c r="P147" s="1" t="str">
        <f t="shared" si="4"/>
        <v>Havy Discount</v>
      </c>
      <c r="Q147" s="1" t="str" cm="1">
        <f t="array" ref="Q147">_xlfn.IFS(O147&gt;7000,"Exellent Sale",O147&gt;4000,"Good Sale",O147&lt;4000,"Average Sale")</f>
        <v>Exellent Sale</v>
      </c>
      <c r="R147" s="1" t="str">
        <f t="shared" si="5"/>
        <v>Normal Order</v>
      </c>
    </row>
    <row r="148" spans="1:18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4">
        <v>10560.22</v>
      </c>
      <c r="P148" s="1" t="str">
        <f t="shared" si="4"/>
        <v>Normal Discount</v>
      </c>
      <c r="Q148" s="1" t="str" cm="1">
        <f t="array" ref="Q148">_xlfn.IFS(O148&gt;7000,"Exellent Sale",O148&gt;4000,"Good Sale",O148&lt;4000,"Average Sale")</f>
        <v>Exellent Sale</v>
      </c>
      <c r="R148" s="1" t="str">
        <f t="shared" si="5"/>
        <v>Priority Order</v>
      </c>
    </row>
    <row r="149" spans="1:18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4">
        <v>8692</v>
      </c>
      <c r="P149" s="1" t="str">
        <f t="shared" si="4"/>
        <v>Normal Discount</v>
      </c>
      <c r="Q149" s="1" t="str" cm="1">
        <f t="array" ref="Q149">_xlfn.IFS(O149&gt;7000,"Exellent Sale",O149&gt;4000,"Good Sale",O149&lt;4000,"Average Sale")</f>
        <v>Exellent Sale</v>
      </c>
      <c r="R149" s="1" t="str">
        <f t="shared" si="5"/>
        <v>Normal Order</v>
      </c>
    </row>
    <row r="150" spans="1:18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4">
        <v>19980.439999999999</v>
      </c>
      <c r="P150" s="1" t="str">
        <f t="shared" si="4"/>
        <v>Havy Discount</v>
      </c>
      <c r="Q150" s="1" t="str" cm="1">
        <f t="array" ref="Q150">_xlfn.IFS(O150&gt;7000,"Exellent Sale",O150&gt;4000,"Good Sale",O150&lt;4000,"Average Sale")</f>
        <v>Exellent Sale</v>
      </c>
      <c r="R150" s="1" t="str">
        <f t="shared" si="5"/>
        <v>Priority Order</v>
      </c>
    </row>
    <row r="151" spans="1:18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4">
        <v>5616.12</v>
      </c>
      <c r="P151" s="1" t="str">
        <f t="shared" si="4"/>
        <v>Normal Discount</v>
      </c>
      <c r="Q151" s="1" t="str" cm="1">
        <f t="array" ref="Q151">_xlfn.IFS(O151&gt;7000,"Exellent Sale",O151&gt;4000,"Good Sale",O151&lt;4000,"Average Sale")</f>
        <v>Good Sale</v>
      </c>
      <c r="R151" s="1" t="str">
        <f t="shared" si="5"/>
        <v>Normal Order</v>
      </c>
    </row>
    <row r="152" spans="1:18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4">
        <v>6209.68</v>
      </c>
      <c r="P152" s="1" t="str">
        <f t="shared" si="4"/>
        <v>Havy Discount</v>
      </c>
      <c r="Q152" s="1" t="str" cm="1">
        <f t="array" ref="Q152">_xlfn.IFS(O152&gt;7000,"Exellent Sale",O152&gt;4000,"Good Sale",O152&lt;4000,"Average Sale")</f>
        <v>Good Sale</v>
      </c>
      <c r="R152" s="1" t="str">
        <f t="shared" si="5"/>
        <v>Normal Order</v>
      </c>
    </row>
    <row r="153" spans="1:18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4">
        <v>2924.2</v>
      </c>
      <c r="P153" s="1" t="str">
        <f t="shared" si="4"/>
        <v>Normal Discount</v>
      </c>
      <c r="Q153" s="1" t="str" cm="1">
        <f t="array" ref="Q153">_xlfn.IFS(O153&gt;7000,"Exellent Sale",O153&gt;4000,"Good Sale",O153&lt;4000,"Average Sale")</f>
        <v>Average Sale</v>
      </c>
      <c r="R153" s="1" t="str">
        <f t="shared" si="5"/>
        <v>Normal Order</v>
      </c>
    </row>
    <row r="154" spans="1:18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4">
        <v>1899.23</v>
      </c>
      <c r="P154" s="1" t="str">
        <f t="shared" si="4"/>
        <v>Normal Discount</v>
      </c>
      <c r="Q154" s="1" t="str" cm="1">
        <f t="array" ref="Q154">_xlfn.IFS(O154&gt;7000,"Exellent Sale",O154&gt;4000,"Good Sale",O154&lt;4000,"Average Sale")</f>
        <v>Average Sale</v>
      </c>
      <c r="R154" s="1" t="str">
        <f t="shared" si="5"/>
        <v>Normal Order</v>
      </c>
    </row>
    <row r="155" spans="1:18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4">
        <v>1529.12</v>
      </c>
      <c r="P155" s="1" t="str">
        <f t="shared" si="4"/>
        <v>Normal Discount</v>
      </c>
      <c r="Q155" s="1" t="str" cm="1">
        <f t="array" ref="Q155">_xlfn.IFS(O155&gt;7000,"Exellent Sale",O155&gt;4000,"Good Sale",O155&lt;4000,"Average Sale")</f>
        <v>Average Sale</v>
      </c>
      <c r="R155" s="1" t="str">
        <f t="shared" si="5"/>
        <v>Normal Order</v>
      </c>
    </row>
    <row r="156" spans="1:18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4">
        <v>4903.3100000000004</v>
      </c>
      <c r="P156" s="1" t="str">
        <f t="shared" si="4"/>
        <v>Havy Discount</v>
      </c>
      <c r="Q156" s="1" t="str" cm="1">
        <f t="array" ref="Q156">_xlfn.IFS(O156&gt;7000,"Exellent Sale",O156&gt;4000,"Good Sale",O156&lt;4000,"Average Sale")</f>
        <v>Good Sale</v>
      </c>
      <c r="R156" s="1" t="str">
        <f t="shared" si="5"/>
        <v>Normal Order</v>
      </c>
    </row>
    <row r="157" spans="1:18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4">
        <v>2273.12</v>
      </c>
      <c r="P157" s="1" t="str">
        <f t="shared" si="4"/>
        <v>Havy Discount</v>
      </c>
      <c r="Q157" s="1" t="str" cm="1">
        <f t="array" ref="Q157">_xlfn.IFS(O157&gt;7000,"Exellent Sale",O157&gt;4000,"Good Sale",O157&lt;4000,"Average Sale")</f>
        <v>Average Sale</v>
      </c>
      <c r="R157" s="1" t="str">
        <f t="shared" si="5"/>
        <v>Normal Order</v>
      </c>
    </row>
    <row r="158" spans="1:18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4">
        <v>8437.84</v>
      </c>
      <c r="P158" s="1" t="str">
        <f t="shared" si="4"/>
        <v>Normal Discount</v>
      </c>
      <c r="Q158" s="1" t="str" cm="1">
        <f t="array" ref="Q158">_xlfn.IFS(O158&gt;7000,"Exellent Sale",O158&gt;4000,"Good Sale",O158&lt;4000,"Average Sale")</f>
        <v>Exellent Sale</v>
      </c>
      <c r="R158" s="1" t="str">
        <f t="shared" si="5"/>
        <v>Priority Order</v>
      </c>
    </row>
    <row r="159" spans="1:18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4">
        <v>22753.34</v>
      </c>
      <c r="P159" s="1" t="str">
        <f t="shared" si="4"/>
        <v>Havy Discount</v>
      </c>
      <c r="Q159" s="1" t="str" cm="1">
        <f t="array" ref="Q159">_xlfn.IFS(O159&gt;7000,"Exellent Sale",O159&gt;4000,"Good Sale",O159&lt;4000,"Average Sale")</f>
        <v>Exellent Sale</v>
      </c>
      <c r="R159" s="1" t="str">
        <f t="shared" si="5"/>
        <v>Priority Order</v>
      </c>
    </row>
    <row r="160" spans="1:18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4">
        <v>22804.62</v>
      </c>
      <c r="P160" s="1" t="str">
        <f t="shared" si="4"/>
        <v>Normal Discount</v>
      </c>
      <c r="Q160" s="1" t="str" cm="1">
        <f t="array" ref="Q160">_xlfn.IFS(O160&gt;7000,"Exellent Sale",O160&gt;4000,"Good Sale",O160&lt;4000,"Average Sale")</f>
        <v>Exellent Sale</v>
      </c>
      <c r="R160" s="1" t="str">
        <f t="shared" si="5"/>
        <v>Priority Order</v>
      </c>
    </row>
    <row r="161" spans="1:18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4">
        <v>5026.34</v>
      </c>
      <c r="P161" s="1" t="str">
        <f t="shared" si="4"/>
        <v>Normal Discount</v>
      </c>
      <c r="Q161" s="1" t="str" cm="1">
        <f t="array" ref="Q161">_xlfn.IFS(O161&gt;7000,"Exellent Sale",O161&gt;4000,"Good Sale",O161&lt;4000,"Average Sale")</f>
        <v>Good Sale</v>
      </c>
      <c r="R161" s="1" t="str">
        <f t="shared" si="5"/>
        <v>Normal Order</v>
      </c>
    </row>
    <row r="162" spans="1:18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4">
        <v>8412.41</v>
      </c>
      <c r="P162" s="1" t="str">
        <f t="shared" si="4"/>
        <v>Normal Discount</v>
      </c>
      <c r="Q162" s="1" t="str" cm="1">
        <f t="array" ref="Q162">_xlfn.IFS(O162&gt;7000,"Exellent Sale",O162&gt;4000,"Good Sale",O162&lt;4000,"Average Sale")</f>
        <v>Exellent Sale</v>
      </c>
      <c r="R162" s="1" t="str">
        <f t="shared" si="5"/>
        <v>Priority Order</v>
      </c>
    </row>
    <row r="163" spans="1:18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4">
        <v>9329.68</v>
      </c>
      <c r="P163" s="1" t="str">
        <f t="shared" si="4"/>
        <v>Normal Discount</v>
      </c>
      <c r="Q163" s="1" t="str" cm="1">
        <f t="array" ref="Q163">_xlfn.IFS(O163&gt;7000,"Exellent Sale",O163&gt;4000,"Good Sale",O163&lt;4000,"Average Sale")</f>
        <v>Exellent Sale</v>
      </c>
      <c r="R163" s="1" t="str">
        <f t="shared" si="5"/>
        <v>Priority Order</v>
      </c>
    </row>
    <row r="164" spans="1:18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4">
        <v>975.38</v>
      </c>
      <c r="P164" s="1" t="str">
        <f t="shared" si="4"/>
        <v>Havy Discount</v>
      </c>
      <c r="Q164" s="1" t="str" cm="1">
        <f t="array" ref="Q164">_xlfn.IFS(O164&gt;7000,"Exellent Sale",O164&gt;4000,"Good Sale",O164&lt;4000,"Average Sale")</f>
        <v>Average Sale</v>
      </c>
      <c r="R164" s="1" t="str">
        <f t="shared" si="5"/>
        <v>Normal Order</v>
      </c>
    </row>
    <row r="165" spans="1:18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4">
        <v>922.66</v>
      </c>
      <c r="P165" s="1" t="str">
        <f t="shared" si="4"/>
        <v>Havy Discount</v>
      </c>
      <c r="Q165" s="1" t="str" cm="1">
        <f t="array" ref="Q165">_xlfn.IFS(O165&gt;7000,"Exellent Sale",O165&gt;4000,"Good Sale",O165&lt;4000,"Average Sale")</f>
        <v>Average Sale</v>
      </c>
      <c r="R165" s="1" t="str">
        <f t="shared" si="5"/>
        <v>Normal Order</v>
      </c>
    </row>
    <row r="166" spans="1:18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4">
        <v>11899.62</v>
      </c>
      <c r="P166" s="1" t="str">
        <f t="shared" si="4"/>
        <v>Havy Discount</v>
      </c>
      <c r="Q166" s="1" t="str" cm="1">
        <f t="array" ref="Q166">_xlfn.IFS(O166&gt;7000,"Exellent Sale",O166&gt;4000,"Good Sale",O166&lt;4000,"Average Sale")</f>
        <v>Exellent Sale</v>
      </c>
      <c r="R166" s="1" t="str">
        <f t="shared" si="5"/>
        <v>Normal Order</v>
      </c>
    </row>
    <row r="167" spans="1:18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4">
        <v>6809.18</v>
      </c>
      <c r="P167" s="1" t="str">
        <f t="shared" si="4"/>
        <v>Normal Discount</v>
      </c>
      <c r="Q167" s="1" t="str" cm="1">
        <f t="array" ref="Q167">_xlfn.IFS(O167&gt;7000,"Exellent Sale",O167&gt;4000,"Good Sale",O167&lt;4000,"Average Sale")</f>
        <v>Good Sale</v>
      </c>
      <c r="R167" s="1" t="str">
        <f t="shared" si="5"/>
        <v>Normal Order</v>
      </c>
    </row>
    <row r="168" spans="1:18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4">
        <v>10513.77</v>
      </c>
      <c r="P168" s="1" t="str">
        <f t="shared" si="4"/>
        <v>Havy Discount</v>
      </c>
      <c r="Q168" s="1" t="str" cm="1">
        <f t="array" ref="Q168">_xlfn.IFS(O168&gt;7000,"Exellent Sale",O168&gt;4000,"Good Sale",O168&lt;4000,"Average Sale")</f>
        <v>Exellent Sale</v>
      </c>
      <c r="R168" s="1" t="str">
        <f t="shared" si="5"/>
        <v>Priority Order</v>
      </c>
    </row>
    <row r="169" spans="1:18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4">
        <v>1423.4</v>
      </c>
      <c r="P169" s="1" t="str">
        <f t="shared" si="4"/>
        <v>Normal Discount</v>
      </c>
      <c r="Q169" s="1" t="str" cm="1">
        <f t="array" ref="Q169">_xlfn.IFS(O169&gt;7000,"Exellent Sale",O169&gt;4000,"Good Sale",O169&lt;4000,"Average Sale")</f>
        <v>Average Sale</v>
      </c>
      <c r="R169" s="1" t="str">
        <f t="shared" si="5"/>
        <v>Normal Order</v>
      </c>
    </row>
    <row r="170" spans="1:18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4">
        <v>16402.37</v>
      </c>
      <c r="P170" s="1" t="str">
        <f t="shared" si="4"/>
        <v>Normal Discount</v>
      </c>
      <c r="Q170" s="1" t="str" cm="1">
        <f t="array" ref="Q170">_xlfn.IFS(O170&gt;7000,"Exellent Sale",O170&gt;4000,"Good Sale",O170&lt;4000,"Average Sale")</f>
        <v>Exellent Sale</v>
      </c>
      <c r="R170" s="1" t="str">
        <f t="shared" si="5"/>
        <v>Normal Order</v>
      </c>
    </row>
    <row r="171" spans="1:18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4">
        <v>19716.98</v>
      </c>
      <c r="P171" s="1" t="str">
        <f t="shared" si="4"/>
        <v>Normal Discount</v>
      </c>
      <c r="Q171" s="1" t="str" cm="1">
        <f t="array" ref="Q171">_xlfn.IFS(O171&gt;7000,"Exellent Sale",O171&gt;4000,"Good Sale",O171&lt;4000,"Average Sale")</f>
        <v>Exellent Sale</v>
      </c>
      <c r="R171" s="1" t="str">
        <f t="shared" si="5"/>
        <v>Priority Order</v>
      </c>
    </row>
    <row r="172" spans="1:18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4">
        <v>28842.080000000002</v>
      </c>
      <c r="P172" s="1" t="str">
        <f t="shared" si="4"/>
        <v>Normal Discount</v>
      </c>
      <c r="Q172" s="1" t="str" cm="1">
        <f t="array" ref="Q172">_xlfn.IFS(O172&gt;7000,"Exellent Sale",O172&gt;4000,"Good Sale",O172&lt;4000,"Average Sale")</f>
        <v>Exellent Sale</v>
      </c>
      <c r="R172" s="1" t="str">
        <f t="shared" si="5"/>
        <v>Priority Order</v>
      </c>
    </row>
    <row r="173" spans="1:18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4">
        <v>22746.38</v>
      </c>
      <c r="P173" s="1" t="str">
        <f t="shared" si="4"/>
        <v>Havy Discount</v>
      </c>
      <c r="Q173" s="1" t="str" cm="1">
        <f t="array" ref="Q173">_xlfn.IFS(O173&gt;7000,"Exellent Sale",O173&gt;4000,"Good Sale",O173&lt;4000,"Average Sale")</f>
        <v>Exellent Sale</v>
      </c>
      <c r="R173" s="1" t="str">
        <f t="shared" si="5"/>
        <v>Priority Order</v>
      </c>
    </row>
    <row r="174" spans="1:18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4">
        <v>3869.64</v>
      </c>
      <c r="P174" s="1" t="str">
        <f t="shared" si="4"/>
        <v>Normal Discount</v>
      </c>
      <c r="Q174" s="1" t="str" cm="1">
        <f t="array" ref="Q174">_xlfn.IFS(O174&gt;7000,"Exellent Sale",O174&gt;4000,"Good Sale",O174&lt;4000,"Average Sale")</f>
        <v>Average Sale</v>
      </c>
      <c r="R174" s="1" t="str">
        <f t="shared" si="5"/>
        <v>Normal Order</v>
      </c>
    </row>
    <row r="175" spans="1:18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4">
        <v>2815.99</v>
      </c>
      <c r="P175" s="1" t="str">
        <f t="shared" si="4"/>
        <v>Havy Discount</v>
      </c>
      <c r="Q175" s="1" t="str" cm="1">
        <f t="array" ref="Q175">_xlfn.IFS(O175&gt;7000,"Exellent Sale",O175&gt;4000,"Good Sale",O175&lt;4000,"Average Sale")</f>
        <v>Average Sale</v>
      </c>
      <c r="R175" s="1" t="str">
        <f t="shared" si="5"/>
        <v>Normal Order</v>
      </c>
    </row>
    <row r="176" spans="1:18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4">
        <v>9075.8700000000008</v>
      </c>
      <c r="P176" s="1" t="str">
        <f t="shared" si="4"/>
        <v>Havy Discount</v>
      </c>
      <c r="Q176" s="1" t="str" cm="1">
        <f t="array" ref="Q176">_xlfn.IFS(O176&gt;7000,"Exellent Sale",O176&gt;4000,"Good Sale",O176&lt;4000,"Average Sale")</f>
        <v>Exellent Sale</v>
      </c>
      <c r="R176" s="1" t="str">
        <f t="shared" si="5"/>
        <v>Normal Order</v>
      </c>
    </row>
    <row r="177" spans="1:18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4">
        <v>7371.19</v>
      </c>
      <c r="P177" s="1" t="str">
        <f t="shared" si="4"/>
        <v>Normal Discount</v>
      </c>
      <c r="Q177" s="1" t="str" cm="1">
        <f t="array" ref="Q177">_xlfn.IFS(O177&gt;7000,"Exellent Sale",O177&gt;4000,"Good Sale",O177&lt;4000,"Average Sale")</f>
        <v>Exellent Sale</v>
      </c>
      <c r="R177" s="1" t="str">
        <f t="shared" si="5"/>
        <v>Normal Order</v>
      </c>
    </row>
    <row r="178" spans="1:18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4">
        <v>2329.9299999999998</v>
      </c>
      <c r="P178" s="1" t="str">
        <f t="shared" si="4"/>
        <v>Normal Discount</v>
      </c>
      <c r="Q178" s="1" t="str" cm="1">
        <f t="array" ref="Q178">_xlfn.IFS(O178&gt;7000,"Exellent Sale",O178&gt;4000,"Good Sale",O178&lt;4000,"Average Sale")</f>
        <v>Average Sale</v>
      </c>
      <c r="R178" s="1" t="str">
        <f t="shared" si="5"/>
        <v>Normal Order</v>
      </c>
    </row>
    <row r="179" spans="1:18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4">
        <v>1096.77</v>
      </c>
      <c r="P179" s="1" t="str">
        <f t="shared" si="4"/>
        <v>Normal Discount</v>
      </c>
      <c r="Q179" s="1" t="str" cm="1">
        <f t="array" ref="Q179">_xlfn.IFS(O179&gt;7000,"Exellent Sale",O179&gt;4000,"Good Sale",O179&lt;4000,"Average Sale")</f>
        <v>Average Sale</v>
      </c>
      <c r="R179" s="1" t="str">
        <f t="shared" si="5"/>
        <v>Normal Order</v>
      </c>
    </row>
    <row r="180" spans="1:18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4">
        <v>3144.91</v>
      </c>
      <c r="P180" s="1" t="str">
        <f t="shared" si="4"/>
        <v>Normal Discount</v>
      </c>
      <c r="Q180" s="1" t="str" cm="1">
        <f t="array" ref="Q180">_xlfn.IFS(O180&gt;7000,"Exellent Sale",O180&gt;4000,"Good Sale",O180&lt;4000,"Average Sale")</f>
        <v>Average Sale</v>
      </c>
      <c r="R180" s="1" t="str">
        <f t="shared" si="5"/>
        <v>Normal Order</v>
      </c>
    </row>
    <row r="181" spans="1:18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4">
        <v>15920.42</v>
      </c>
      <c r="P181" s="1" t="str">
        <f t="shared" si="4"/>
        <v>Normal Discount</v>
      </c>
      <c r="Q181" s="1" t="str" cm="1">
        <f t="array" ref="Q181">_xlfn.IFS(O181&gt;7000,"Exellent Sale",O181&gt;4000,"Good Sale",O181&lt;4000,"Average Sale")</f>
        <v>Exellent Sale</v>
      </c>
      <c r="R181" s="1" t="str">
        <f t="shared" si="5"/>
        <v>Priority Order</v>
      </c>
    </row>
    <row r="182" spans="1:18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4">
        <v>9317.52</v>
      </c>
      <c r="P182" s="1" t="str">
        <f t="shared" si="4"/>
        <v>Havy Discount</v>
      </c>
      <c r="Q182" s="1" t="str" cm="1">
        <f t="array" ref="Q182">_xlfn.IFS(O182&gt;7000,"Exellent Sale",O182&gt;4000,"Good Sale",O182&lt;4000,"Average Sale")</f>
        <v>Exellent Sale</v>
      </c>
      <c r="R182" s="1" t="str">
        <f t="shared" si="5"/>
        <v>Normal Order</v>
      </c>
    </row>
    <row r="183" spans="1:18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4">
        <v>11563.74</v>
      </c>
      <c r="P183" s="1" t="str">
        <f t="shared" si="4"/>
        <v>Normal Discount</v>
      </c>
      <c r="Q183" s="1" t="str" cm="1">
        <f t="array" ref="Q183">_xlfn.IFS(O183&gt;7000,"Exellent Sale",O183&gt;4000,"Good Sale",O183&lt;4000,"Average Sale")</f>
        <v>Exellent Sale</v>
      </c>
      <c r="R183" s="1" t="str">
        <f t="shared" si="5"/>
        <v>Normal Order</v>
      </c>
    </row>
    <row r="184" spans="1:18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4">
        <v>3685.19</v>
      </c>
      <c r="P184" s="1" t="str">
        <f t="shared" si="4"/>
        <v>Havy Discount</v>
      </c>
      <c r="Q184" s="1" t="str" cm="1">
        <f t="array" ref="Q184">_xlfn.IFS(O184&gt;7000,"Exellent Sale",O184&gt;4000,"Good Sale",O184&lt;4000,"Average Sale")</f>
        <v>Average Sale</v>
      </c>
      <c r="R184" s="1" t="str">
        <f t="shared" si="5"/>
        <v>Normal Order</v>
      </c>
    </row>
    <row r="185" spans="1:18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4">
        <v>9034.44</v>
      </c>
      <c r="P185" s="1" t="str">
        <f t="shared" si="4"/>
        <v>Havy Discount</v>
      </c>
      <c r="Q185" s="1" t="str" cm="1">
        <f t="array" ref="Q185">_xlfn.IFS(O185&gt;7000,"Exellent Sale",O185&gt;4000,"Good Sale",O185&lt;4000,"Average Sale")</f>
        <v>Exellent Sale</v>
      </c>
      <c r="R185" s="1" t="str">
        <f t="shared" si="5"/>
        <v>Normal Order</v>
      </c>
    </row>
    <row r="186" spans="1:18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4">
        <v>6290.34</v>
      </c>
      <c r="P186" s="1" t="str">
        <f t="shared" si="4"/>
        <v>Normal Discount</v>
      </c>
      <c r="Q186" s="1" t="str" cm="1">
        <f t="array" ref="Q186">_xlfn.IFS(O186&gt;7000,"Exellent Sale",O186&gt;4000,"Good Sale",O186&lt;4000,"Average Sale")</f>
        <v>Good Sale</v>
      </c>
      <c r="R186" s="1" t="str">
        <f t="shared" si="5"/>
        <v>Normal Order</v>
      </c>
    </row>
    <row r="187" spans="1:18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4">
        <v>508.81</v>
      </c>
      <c r="P187" s="1" t="str">
        <f t="shared" si="4"/>
        <v>Normal Discount</v>
      </c>
      <c r="Q187" s="1" t="str" cm="1">
        <f t="array" ref="Q187">_xlfn.IFS(O187&gt;7000,"Exellent Sale",O187&gt;4000,"Good Sale",O187&lt;4000,"Average Sale")</f>
        <v>Average Sale</v>
      </c>
      <c r="R187" s="1" t="str">
        <f t="shared" si="5"/>
        <v>Normal Order</v>
      </c>
    </row>
    <row r="188" spans="1:18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4">
        <v>1557.37</v>
      </c>
      <c r="P188" s="1" t="str">
        <f t="shared" si="4"/>
        <v>Normal Discount</v>
      </c>
      <c r="Q188" s="1" t="str" cm="1">
        <f t="array" ref="Q188">_xlfn.IFS(O188&gt;7000,"Exellent Sale",O188&gt;4000,"Good Sale",O188&lt;4000,"Average Sale")</f>
        <v>Average Sale</v>
      </c>
      <c r="R188" s="1" t="str">
        <f t="shared" si="5"/>
        <v>Normal Order</v>
      </c>
    </row>
    <row r="189" spans="1:18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4">
        <v>2102.89</v>
      </c>
      <c r="P189" s="1" t="str">
        <f t="shared" si="4"/>
        <v>Normal Discount</v>
      </c>
      <c r="Q189" s="1" t="str" cm="1">
        <f t="array" ref="Q189">_xlfn.IFS(O189&gt;7000,"Exellent Sale",O189&gt;4000,"Good Sale",O189&lt;4000,"Average Sale")</f>
        <v>Average Sale</v>
      </c>
      <c r="R189" s="1" t="str">
        <f t="shared" si="5"/>
        <v>Normal Order</v>
      </c>
    </row>
    <row r="190" spans="1:18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4">
        <v>1806.95</v>
      </c>
      <c r="P190" s="1" t="str">
        <f t="shared" si="4"/>
        <v>Normal Discount</v>
      </c>
      <c r="Q190" s="1" t="str" cm="1">
        <f t="array" ref="Q190">_xlfn.IFS(O190&gt;7000,"Exellent Sale",O190&gt;4000,"Good Sale",O190&lt;4000,"Average Sale")</f>
        <v>Average Sale</v>
      </c>
      <c r="R190" s="1" t="str">
        <f t="shared" si="5"/>
        <v>Normal Order</v>
      </c>
    </row>
    <row r="191" spans="1:18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4">
        <v>2607.92</v>
      </c>
      <c r="P191" s="1" t="str">
        <f t="shared" si="4"/>
        <v>Normal Discount</v>
      </c>
      <c r="Q191" s="1" t="str" cm="1">
        <f t="array" ref="Q191">_xlfn.IFS(O191&gt;7000,"Exellent Sale",O191&gt;4000,"Good Sale",O191&lt;4000,"Average Sale")</f>
        <v>Average Sale</v>
      </c>
      <c r="R191" s="1" t="str">
        <f t="shared" si="5"/>
        <v>Normal Order</v>
      </c>
    </row>
    <row r="192" spans="1:18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4">
        <v>6834.47</v>
      </c>
      <c r="P192" s="1" t="str">
        <f t="shared" si="4"/>
        <v>Havy Discount</v>
      </c>
      <c r="Q192" s="1" t="str" cm="1">
        <f t="array" ref="Q192">_xlfn.IFS(O192&gt;7000,"Exellent Sale",O192&gt;4000,"Good Sale",O192&lt;4000,"Average Sale")</f>
        <v>Good Sale</v>
      </c>
      <c r="R192" s="1" t="str">
        <f t="shared" si="5"/>
        <v>Normal Order</v>
      </c>
    </row>
    <row r="193" spans="1:18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4">
        <v>828.29</v>
      </c>
      <c r="P193" s="1" t="str">
        <f t="shared" si="4"/>
        <v>Havy Discount</v>
      </c>
      <c r="Q193" s="1" t="str" cm="1">
        <f t="array" ref="Q193">_xlfn.IFS(O193&gt;7000,"Exellent Sale",O193&gt;4000,"Good Sale",O193&lt;4000,"Average Sale")</f>
        <v>Average Sale</v>
      </c>
      <c r="R193" s="1" t="str">
        <f t="shared" si="5"/>
        <v>Normal Order</v>
      </c>
    </row>
    <row r="194" spans="1:18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4">
        <v>1687.01</v>
      </c>
      <c r="P194" s="1" t="str">
        <f t="shared" si="4"/>
        <v>Havy Discount</v>
      </c>
      <c r="Q194" s="1" t="str" cm="1">
        <f t="array" ref="Q194">_xlfn.IFS(O194&gt;7000,"Exellent Sale",O194&gt;4000,"Good Sale",O194&lt;4000,"Average Sale")</f>
        <v>Average Sale</v>
      </c>
      <c r="R194" s="1" t="str">
        <f t="shared" si="5"/>
        <v>Normal Order</v>
      </c>
    </row>
    <row r="195" spans="1:18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4">
        <v>1519.82</v>
      </c>
      <c r="P195" s="1" t="str">
        <f t="shared" ref="P195:P258" si="6">IF(N195&gt;10,"Havy Discount","Normal Discount")</f>
        <v>Havy Discount</v>
      </c>
      <c r="Q195" s="1" t="str" cm="1">
        <f t="array" ref="Q195">_xlfn.IFS(O195&gt;7000,"Exellent Sale",O195&gt;4000,"Good Sale",O195&lt;4000,"Average Sale")</f>
        <v>Average Sale</v>
      </c>
      <c r="R195" s="1" t="str">
        <f t="shared" ref="R195:R258" si="7">IF(AND(O195&gt;7000,L195&gt;5),"Priority Order","Normal Order")</f>
        <v>Normal Order</v>
      </c>
    </row>
    <row r="196" spans="1:18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4">
        <v>1861.11</v>
      </c>
      <c r="P196" s="1" t="str">
        <f t="shared" si="6"/>
        <v>Normal Discount</v>
      </c>
      <c r="Q196" s="1" t="str" cm="1">
        <f t="array" ref="Q196">_xlfn.IFS(O196&gt;7000,"Exellent Sale",O196&gt;4000,"Good Sale",O196&lt;4000,"Average Sale")</f>
        <v>Average Sale</v>
      </c>
      <c r="R196" s="1" t="str">
        <f t="shared" si="7"/>
        <v>Normal Order</v>
      </c>
    </row>
    <row r="197" spans="1:18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4">
        <v>20494.88</v>
      </c>
      <c r="P197" s="1" t="str">
        <f t="shared" si="6"/>
        <v>Normal Discount</v>
      </c>
      <c r="Q197" s="1" t="str" cm="1">
        <f t="array" ref="Q197">_xlfn.IFS(O197&gt;7000,"Exellent Sale",O197&gt;4000,"Good Sale",O197&lt;4000,"Average Sale")</f>
        <v>Exellent Sale</v>
      </c>
      <c r="R197" s="1" t="str">
        <f t="shared" si="7"/>
        <v>Priority Order</v>
      </c>
    </row>
    <row r="198" spans="1:18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4">
        <v>4522.3599999999997</v>
      </c>
      <c r="P198" s="1" t="str">
        <f t="shared" si="6"/>
        <v>Normal Discount</v>
      </c>
      <c r="Q198" s="1" t="str" cm="1">
        <f t="array" ref="Q198">_xlfn.IFS(O198&gt;7000,"Exellent Sale",O198&gt;4000,"Good Sale",O198&lt;4000,"Average Sale")</f>
        <v>Good Sale</v>
      </c>
      <c r="R198" s="1" t="str">
        <f t="shared" si="7"/>
        <v>Normal Order</v>
      </c>
    </row>
    <row r="199" spans="1:18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4">
        <v>5214.84</v>
      </c>
      <c r="P199" s="1" t="str">
        <f t="shared" si="6"/>
        <v>Havy Discount</v>
      </c>
      <c r="Q199" s="1" t="str" cm="1">
        <f t="array" ref="Q199">_xlfn.IFS(O199&gt;7000,"Exellent Sale",O199&gt;4000,"Good Sale",O199&lt;4000,"Average Sale")</f>
        <v>Good Sale</v>
      </c>
      <c r="R199" s="1" t="str">
        <f t="shared" si="7"/>
        <v>Normal Order</v>
      </c>
    </row>
    <row r="200" spans="1:18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4">
        <v>5141.4799999999996</v>
      </c>
      <c r="P200" s="1" t="str">
        <f t="shared" si="6"/>
        <v>Normal Discount</v>
      </c>
      <c r="Q200" s="1" t="str" cm="1">
        <f t="array" ref="Q200">_xlfn.IFS(O200&gt;7000,"Exellent Sale",O200&gt;4000,"Good Sale",O200&lt;4000,"Average Sale")</f>
        <v>Good Sale</v>
      </c>
      <c r="R200" s="1" t="str">
        <f t="shared" si="7"/>
        <v>Normal Order</v>
      </c>
    </row>
    <row r="201" spans="1:18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4">
        <v>6889.51</v>
      </c>
      <c r="P201" s="1" t="str">
        <f t="shared" si="6"/>
        <v>Havy Discount</v>
      </c>
      <c r="Q201" s="1" t="str" cm="1">
        <f t="array" ref="Q201">_xlfn.IFS(O201&gt;7000,"Exellent Sale",O201&gt;4000,"Good Sale",O201&lt;4000,"Average Sale")</f>
        <v>Good Sale</v>
      </c>
      <c r="R201" s="1" t="str">
        <f t="shared" si="7"/>
        <v>Normal Order</v>
      </c>
    </row>
    <row r="202" spans="1:18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4">
        <v>14007.76</v>
      </c>
      <c r="P202" s="1" t="str">
        <f t="shared" si="6"/>
        <v>Havy Discount</v>
      </c>
      <c r="Q202" s="1" t="str" cm="1">
        <f t="array" ref="Q202">_xlfn.IFS(O202&gt;7000,"Exellent Sale",O202&gt;4000,"Good Sale",O202&lt;4000,"Average Sale")</f>
        <v>Exellent Sale</v>
      </c>
      <c r="R202" s="1" t="str">
        <f t="shared" si="7"/>
        <v>Normal Order</v>
      </c>
    </row>
    <row r="203" spans="1:18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4">
        <v>27652.32</v>
      </c>
      <c r="P203" s="1" t="str">
        <f t="shared" si="6"/>
        <v>Normal Discount</v>
      </c>
      <c r="Q203" s="1" t="str" cm="1">
        <f t="array" ref="Q203">_xlfn.IFS(O203&gt;7000,"Exellent Sale",O203&gt;4000,"Good Sale",O203&lt;4000,"Average Sale")</f>
        <v>Exellent Sale</v>
      </c>
      <c r="R203" s="1" t="str">
        <f t="shared" si="7"/>
        <v>Priority Order</v>
      </c>
    </row>
    <row r="204" spans="1:18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4">
        <v>18886.34</v>
      </c>
      <c r="P204" s="1" t="str">
        <f t="shared" si="6"/>
        <v>Havy Discount</v>
      </c>
      <c r="Q204" s="1" t="str" cm="1">
        <f t="array" ref="Q204">_xlfn.IFS(O204&gt;7000,"Exellent Sale",O204&gt;4000,"Good Sale",O204&lt;4000,"Average Sale")</f>
        <v>Exellent Sale</v>
      </c>
      <c r="R204" s="1" t="str">
        <f t="shared" si="7"/>
        <v>Priority Order</v>
      </c>
    </row>
    <row r="205" spans="1:18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4">
        <v>15313.32</v>
      </c>
      <c r="P205" s="1" t="str">
        <f t="shared" si="6"/>
        <v>Normal Discount</v>
      </c>
      <c r="Q205" s="1" t="str" cm="1">
        <f t="array" ref="Q205">_xlfn.IFS(O205&gt;7000,"Exellent Sale",O205&gt;4000,"Good Sale",O205&lt;4000,"Average Sale")</f>
        <v>Exellent Sale</v>
      </c>
      <c r="R205" s="1" t="str">
        <f t="shared" si="7"/>
        <v>Priority Order</v>
      </c>
    </row>
    <row r="206" spans="1:18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4">
        <v>20312.28</v>
      </c>
      <c r="P206" s="1" t="str">
        <f t="shared" si="6"/>
        <v>Normal Discount</v>
      </c>
      <c r="Q206" s="1" t="str" cm="1">
        <f t="array" ref="Q206">_xlfn.IFS(O206&gt;7000,"Exellent Sale",O206&gt;4000,"Good Sale",O206&lt;4000,"Average Sale")</f>
        <v>Exellent Sale</v>
      </c>
      <c r="R206" s="1" t="str">
        <f t="shared" si="7"/>
        <v>Priority Order</v>
      </c>
    </row>
    <row r="207" spans="1:18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4">
        <v>17313.86</v>
      </c>
      <c r="P207" s="1" t="str">
        <f t="shared" si="6"/>
        <v>Normal Discount</v>
      </c>
      <c r="Q207" s="1" t="str" cm="1">
        <f t="array" ref="Q207">_xlfn.IFS(O207&gt;7000,"Exellent Sale",O207&gt;4000,"Good Sale",O207&lt;4000,"Average Sale")</f>
        <v>Exellent Sale</v>
      </c>
      <c r="R207" s="1" t="str">
        <f t="shared" si="7"/>
        <v>Priority Order</v>
      </c>
    </row>
    <row r="208" spans="1:18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4">
        <v>6190.13</v>
      </c>
      <c r="P208" s="1" t="str">
        <f t="shared" si="6"/>
        <v>Normal Discount</v>
      </c>
      <c r="Q208" s="1" t="str" cm="1">
        <f t="array" ref="Q208">_xlfn.IFS(O208&gt;7000,"Exellent Sale",O208&gt;4000,"Good Sale",O208&lt;4000,"Average Sale")</f>
        <v>Good Sale</v>
      </c>
      <c r="R208" s="1" t="str">
        <f t="shared" si="7"/>
        <v>Normal Order</v>
      </c>
    </row>
    <row r="209" spans="1:18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4">
        <v>6099.65</v>
      </c>
      <c r="P209" s="1" t="str">
        <f t="shared" si="6"/>
        <v>Havy Discount</v>
      </c>
      <c r="Q209" s="1" t="str" cm="1">
        <f t="array" ref="Q209">_xlfn.IFS(O209&gt;7000,"Exellent Sale",O209&gt;4000,"Good Sale",O209&lt;4000,"Average Sale")</f>
        <v>Good Sale</v>
      </c>
      <c r="R209" s="1" t="str">
        <f t="shared" si="7"/>
        <v>Normal Order</v>
      </c>
    </row>
    <row r="210" spans="1:18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4">
        <v>8779.5499999999993</v>
      </c>
      <c r="P210" s="1" t="str">
        <f t="shared" si="6"/>
        <v>Havy Discount</v>
      </c>
      <c r="Q210" s="1" t="str" cm="1">
        <f t="array" ref="Q210">_xlfn.IFS(O210&gt;7000,"Exellent Sale",O210&gt;4000,"Good Sale",O210&lt;4000,"Average Sale")</f>
        <v>Exellent Sale</v>
      </c>
      <c r="R210" s="1" t="str">
        <f t="shared" si="7"/>
        <v>Priority Order</v>
      </c>
    </row>
    <row r="211" spans="1:18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4">
        <v>24864.81</v>
      </c>
      <c r="P211" s="1" t="str">
        <f t="shared" si="6"/>
        <v>Havy Discount</v>
      </c>
      <c r="Q211" s="1" t="str" cm="1">
        <f t="array" ref="Q211">_xlfn.IFS(O211&gt;7000,"Exellent Sale",O211&gt;4000,"Good Sale",O211&lt;4000,"Average Sale")</f>
        <v>Exellent Sale</v>
      </c>
      <c r="R211" s="1" t="str">
        <f t="shared" si="7"/>
        <v>Priority Order</v>
      </c>
    </row>
    <row r="212" spans="1:18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4">
        <v>14222.56</v>
      </c>
      <c r="P212" s="1" t="str">
        <f t="shared" si="6"/>
        <v>Normal Discount</v>
      </c>
      <c r="Q212" s="1" t="str" cm="1">
        <f t="array" ref="Q212">_xlfn.IFS(O212&gt;7000,"Exellent Sale",O212&gt;4000,"Good Sale",O212&lt;4000,"Average Sale")</f>
        <v>Exellent Sale</v>
      </c>
      <c r="R212" s="1" t="str">
        <f t="shared" si="7"/>
        <v>Priority Order</v>
      </c>
    </row>
    <row r="213" spans="1:18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4">
        <v>2529.21</v>
      </c>
      <c r="P213" s="1" t="str">
        <f t="shared" si="6"/>
        <v>Havy Discount</v>
      </c>
      <c r="Q213" s="1" t="str" cm="1">
        <f t="array" ref="Q213">_xlfn.IFS(O213&gt;7000,"Exellent Sale",O213&gt;4000,"Good Sale",O213&lt;4000,"Average Sale")</f>
        <v>Average Sale</v>
      </c>
      <c r="R213" s="1" t="str">
        <f t="shared" si="7"/>
        <v>Normal Order</v>
      </c>
    </row>
    <row r="214" spans="1:18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4">
        <v>4749.6000000000004</v>
      </c>
      <c r="P214" s="1" t="str">
        <f t="shared" si="6"/>
        <v>Havy Discount</v>
      </c>
      <c r="Q214" s="1" t="str" cm="1">
        <f t="array" ref="Q214">_xlfn.IFS(O214&gt;7000,"Exellent Sale",O214&gt;4000,"Good Sale",O214&lt;4000,"Average Sale")</f>
        <v>Good Sale</v>
      </c>
      <c r="R214" s="1" t="str">
        <f t="shared" si="7"/>
        <v>Normal Order</v>
      </c>
    </row>
    <row r="215" spans="1:18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4">
        <v>5847.01</v>
      </c>
      <c r="P215" s="1" t="str">
        <f t="shared" si="6"/>
        <v>Havy Discount</v>
      </c>
      <c r="Q215" s="1" t="str" cm="1">
        <f t="array" ref="Q215">_xlfn.IFS(O215&gt;7000,"Exellent Sale",O215&gt;4000,"Good Sale",O215&lt;4000,"Average Sale")</f>
        <v>Good Sale</v>
      </c>
      <c r="R215" s="1" t="str">
        <f t="shared" si="7"/>
        <v>Normal Order</v>
      </c>
    </row>
    <row r="216" spans="1:18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4">
        <v>2533.7199999999998</v>
      </c>
      <c r="P216" s="1" t="str">
        <f t="shared" si="6"/>
        <v>Havy Discount</v>
      </c>
      <c r="Q216" s="1" t="str" cm="1">
        <f t="array" ref="Q216">_xlfn.IFS(O216&gt;7000,"Exellent Sale",O216&gt;4000,"Good Sale",O216&lt;4000,"Average Sale")</f>
        <v>Average Sale</v>
      </c>
      <c r="R216" s="1" t="str">
        <f t="shared" si="7"/>
        <v>Normal Order</v>
      </c>
    </row>
    <row r="217" spans="1:18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4">
        <v>4614.09</v>
      </c>
      <c r="P217" s="1" t="str">
        <f t="shared" si="6"/>
        <v>Normal Discount</v>
      </c>
      <c r="Q217" s="1" t="str" cm="1">
        <f t="array" ref="Q217">_xlfn.IFS(O217&gt;7000,"Exellent Sale",O217&gt;4000,"Good Sale",O217&lt;4000,"Average Sale")</f>
        <v>Good Sale</v>
      </c>
      <c r="R217" s="1" t="str">
        <f t="shared" si="7"/>
        <v>Normal Order</v>
      </c>
    </row>
    <row r="218" spans="1:18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4">
        <v>10673.02</v>
      </c>
      <c r="P218" s="1" t="str">
        <f t="shared" si="6"/>
        <v>Havy Discount</v>
      </c>
      <c r="Q218" s="1" t="str" cm="1">
        <f t="array" ref="Q218">_xlfn.IFS(O218&gt;7000,"Exellent Sale",O218&gt;4000,"Good Sale",O218&lt;4000,"Average Sale")</f>
        <v>Exellent Sale</v>
      </c>
      <c r="R218" s="1" t="str">
        <f t="shared" si="7"/>
        <v>Normal Order</v>
      </c>
    </row>
    <row r="219" spans="1:18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4">
        <v>4803.26</v>
      </c>
      <c r="P219" s="1" t="str">
        <f t="shared" si="6"/>
        <v>Normal Discount</v>
      </c>
      <c r="Q219" s="1" t="str" cm="1">
        <f t="array" ref="Q219">_xlfn.IFS(O219&gt;7000,"Exellent Sale",O219&gt;4000,"Good Sale",O219&lt;4000,"Average Sale")</f>
        <v>Good Sale</v>
      </c>
      <c r="R219" s="1" t="str">
        <f t="shared" si="7"/>
        <v>Normal Order</v>
      </c>
    </row>
    <row r="220" spans="1:18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4">
        <v>8697</v>
      </c>
      <c r="P220" s="1" t="str">
        <f t="shared" si="6"/>
        <v>Normal Discount</v>
      </c>
      <c r="Q220" s="1" t="str" cm="1">
        <f t="array" ref="Q220">_xlfn.IFS(O220&gt;7000,"Exellent Sale",O220&gt;4000,"Good Sale",O220&lt;4000,"Average Sale")</f>
        <v>Exellent Sale</v>
      </c>
      <c r="R220" s="1" t="str">
        <f t="shared" si="7"/>
        <v>Priority Order</v>
      </c>
    </row>
    <row r="221" spans="1:18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4">
        <v>25927.84</v>
      </c>
      <c r="P221" s="1" t="str">
        <f t="shared" si="6"/>
        <v>Normal Discount</v>
      </c>
      <c r="Q221" s="1" t="str" cm="1">
        <f t="array" ref="Q221">_xlfn.IFS(O221&gt;7000,"Exellent Sale",O221&gt;4000,"Good Sale",O221&lt;4000,"Average Sale")</f>
        <v>Exellent Sale</v>
      </c>
      <c r="R221" s="1" t="str">
        <f t="shared" si="7"/>
        <v>Priority Order</v>
      </c>
    </row>
    <row r="222" spans="1:18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4">
        <v>7913.52</v>
      </c>
      <c r="P222" s="1" t="str">
        <f t="shared" si="6"/>
        <v>Normal Discount</v>
      </c>
      <c r="Q222" s="1" t="str" cm="1">
        <f t="array" ref="Q222">_xlfn.IFS(O222&gt;7000,"Exellent Sale",O222&gt;4000,"Good Sale",O222&lt;4000,"Average Sale")</f>
        <v>Exellent Sale</v>
      </c>
      <c r="R222" s="1" t="str">
        <f t="shared" si="7"/>
        <v>Priority Order</v>
      </c>
    </row>
    <row r="223" spans="1:18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4">
        <v>24618.7</v>
      </c>
      <c r="P223" s="1" t="str">
        <f t="shared" si="6"/>
        <v>Normal Discount</v>
      </c>
      <c r="Q223" s="1" t="str" cm="1">
        <f t="array" ref="Q223">_xlfn.IFS(O223&gt;7000,"Exellent Sale",O223&gt;4000,"Good Sale",O223&lt;4000,"Average Sale")</f>
        <v>Exellent Sale</v>
      </c>
      <c r="R223" s="1" t="str">
        <f t="shared" si="7"/>
        <v>Priority Order</v>
      </c>
    </row>
    <row r="224" spans="1:18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4">
        <v>7978.77</v>
      </c>
      <c r="P224" s="1" t="str">
        <f t="shared" si="6"/>
        <v>Normal Discount</v>
      </c>
      <c r="Q224" s="1" t="str" cm="1">
        <f t="array" ref="Q224">_xlfn.IFS(O224&gt;7000,"Exellent Sale",O224&gt;4000,"Good Sale",O224&lt;4000,"Average Sale")</f>
        <v>Exellent Sale</v>
      </c>
      <c r="R224" s="1" t="str">
        <f t="shared" si="7"/>
        <v>Priority Order</v>
      </c>
    </row>
    <row r="225" spans="1:18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4">
        <v>2317.84</v>
      </c>
      <c r="P225" s="1" t="str">
        <f t="shared" si="6"/>
        <v>Havy Discount</v>
      </c>
      <c r="Q225" s="1" t="str" cm="1">
        <f t="array" ref="Q225">_xlfn.IFS(O225&gt;7000,"Exellent Sale",O225&gt;4000,"Good Sale",O225&lt;4000,"Average Sale")</f>
        <v>Average Sale</v>
      </c>
      <c r="R225" s="1" t="str">
        <f t="shared" si="7"/>
        <v>Normal Order</v>
      </c>
    </row>
    <row r="226" spans="1:18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4">
        <v>8510.42</v>
      </c>
      <c r="P226" s="1" t="str">
        <f t="shared" si="6"/>
        <v>Normal Discount</v>
      </c>
      <c r="Q226" s="1" t="str" cm="1">
        <f t="array" ref="Q226">_xlfn.IFS(O226&gt;7000,"Exellent Sale",O226&gt;4000,"Good Sale",O226&lt;4000,"Average Sale")</f>
        <v>Exellent Sale</v>
      </c>
      <c r="R226" s="1" t="str">
        <f t="shared" si="7"/>
        <v>Priority Order</v>
      </c>
    </row>
    <row r="227" spans="1:18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4">
        <v>2945.62</v>
      </c>
      <c r="P227" s="1" t="str">
        <f t="shared" si="6"/>
        <v>Normal Discount</v>
      </c>
      <c r="Q227" s="1" t="str" cm="1">
        <f t="array" ref="Q227">_xlfn.IFS(O227&gt;7000,"Exellent Sale",O227&gt;4000,"Good Sale",O227&lt;4000,"Average Sale")</f>
        <v>Average Sale</v>
      </c>
      <c r="R227" s="1" t="str">
        <f t="shared" si="7"/>
        <v>Normal Order</v>
      </c>
    </row>
    <row r="228" spans="1:18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4">
        <v>3467.28</v>
      </c>
      <c r="P228" s="1" t="str">
        <f t="shared" si="6"/>
        <v>Normal Discount</v>
      </c>
      <c r="Q228" s="1" t="str" cm="1">
        <f t="array" ref="Q228">_xlfn.IFS(O228&gt;7000,"Exellent Sale",O228&gt;4000,"Good Sale",O228&lt;4000,"Average Sale")</f>
        <v>Average Sale</v>
      </c>
      <c r="R228" s="1" t="str">
        <f t="shared" si="7"/>
        <v>Normal Order</v>
      </c>
    </row>
    <row r="229" spans="1:18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4">
        <v>16929.28</v>
      </c>
      <c r="P229" s="1" t="str">
        <f t="shared" si="6"/>
        <v>Havy Discount</v>
      </c>
      <c r="Q229" s="1" t="str" cm="1">
        <f t="array" ref="Q229">_xlfn.IFS(O229&gt;7000,"Exellent Sale",O229&gt;4000,"Good Sale",O229&lt;4000,"Average Sale")</f>
        <v>Exellent Sale</v>
      </c>
      <c r="R229" s="1" t="str">
        <f t="shared" si="7"/>
        <v>Priority Order</v>
      </c>
    </row>
    <row r="230" spans="1:18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4">
        <v>28153.599999999999</v>
      </c>
      <c r="P230" s="1" t="str">
        <f t="shared" si="6"/>
        <v>Normal Discount</v>
      </c>
      <c r="Q230" s="1" t="str" cm="1">
        <f t="array" ref="Q230">_xlfn.IFS(O230&gt;7000,"Exellent Sale",O230&gt;4000,"Good Sale",O230&lt;4000,"Average Sale")</f>
        <v>Exellent Sale</v>
      </c>
      <c r="R230" s="1" t="str">
        <f t="shared" si="7"/>
        <v>Priority Order</v>
      </c>
    </row>
    <row r="231" spans="1:18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4">
        <v>8622.4500000000007</v>
      </c>
      <c r="P231" s="1" t="str">
        <f t="shared" si="6"/>
        <v>Normal Discount</v>
      </c>
      <c r="Q231" s="1" t="str" cm="1">
        <f t="array" ref="Q231">_xlfn.IFS(O231&gt;7000,"Exellent Sale",O231&gt;4000,"Good Sale",O231&lt;4000,"Average Sale")</f>
        <v>Exellent Sale</v>
      </c>
      <c r="R231" s="1" t="str">
        <f t="shared" si="7"/>
        <v>Normal Order</v>
      </c>
    </row>
    <row r="232" spans="1:18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4">
        <v>3882.26</v>
      </c>
      <c r="P232" s="1" t="str">
        <f t="shared" si="6"/>
        <v>Havy Discount</v>
      </c>
      <c r="Q232" s="1" t="str" cm="1">
        <f t="array" ref="Q232">_xlfn.IFS(O232&gt;7000,"Exellent Sale",O232&gt;4000,"Good Sale",O232&lt;4000,"Average Sale")</f>
        <v>Average Sale</v>
      </c>
      <c r="R232" s="1" t="str">
        <f t="shared" si="7"/>
        <v>Normal Order</v>
      </c>
    </row>
    <row r="233" spans="1:18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4">
        <v>1912.92</v>
      </c>
      <c r="P233" s="1" t="str">
        <f t="shared" si="6"/>
        <v>Havy Discount</v>
      </c>
      <c r="Q233" s="1" t="str" cm="1">
        <f t="array" ref="Q233">_xlfn.IFS(O233&gt;7000,"Exellent Sale",O233&gt;4000,"Good Sale",O233&lt;4000,"Average Sale")</f>
        <v>Average Sale</v>
      </c>
      <c r="R233" s="1" t="str">
        <f t="shared" si="7"/>
        <v>Normal Order</v>
      </c>
    </row>
    <row r="234" spans="1:18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4">
        <v>528.70000000000005</v>
      </c>
      <c r="P234" s="1" t="str">
        <f t="shared" si="6"/>
        <v>Normal Discount</v>
      </c>
      <c r="Q234" s="1" t="str" cm="1">
        <f t="array" ref="Q234">_xlfn.IFS(O234&gt;7000,"Exellent Sale",O234&gt;4000,"Good Sale",O234&lt;4000,"Average Sale")</f>
        <v>Average Sale</v>
      </c>
      <c r="R234" s="1" t="str">
        <f t="shared" si="7"/>
        <v>Normal Order</v>
      </c>
    </row>
    <row r="235" spans="1:18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4">
        <v>2043.59</v>
      </c>
      <c r="P235" s="1" t="str">
        <f t="shared" si="6"/>
        <v>Normal Discount</v>
      </c>
      <c r="Q235" s="1" t="str" cm="1">
        <f t="array" ref="Q235">_xlfn.IFS(O235&gt;7000,"Exellent Sale",O235&gt;4000,"Good Sale",O235&lt;4000,"Average Sale")</f>
        <v>Average Sale</v>
      </c>
      <c r="R235" s="1" t="str">
        <f t="shared" si="7"/>
        <v>Normal Order</v>
      </c>
    </row>
    <row r="236" spans="1:18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4">
        <v>21684.43</v>
      </c>
      <c r="P236" s="1" t="str">
        <f t="shared" si="6"/>
        <v>Normal Discount</v>
      </c>
      <c r="Q236" s="1" t="str" cm="1">
        <f t="array" ref="Q236">_xlfn.IFS(O236&gt;7000,"Exellent Sale",O236&gt;4000,"Good Sale",O236&lt;4000,"Average Sale")</f>
        <v>Exellent Sale</v>
      </c>
      <c r="R236" s="1" t="str">
        <f t="shared" si="7"/>
        <v>Priority Order</v>
      </c>
    </row>
    <row r="237" spans="1:18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4">
        <v>14698.76</v>
      </c>
      <c r="P237" s="1" t="str">
        <f t="shared" si="6"/>
        <v>Normal Discount</v>
      </c>
      <c r="Q237" s="1" t="str" cm="1">
        <f t="array" ref="Q237">_xlfn.IFS(O237&gt;7000,"Exellent Sale",O237&gt;4000,"Good Sale",O237&lt;4000,"Average Sale")</f>
        <v>Exellent Sale</v>
      </c>
      <c r="R237" s="1" t="str">
        <f t="shared" si="7"/>
        <v>Priority Order</v>
      </c>
    </row>
    <row r="238" spans="1:18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4">
        <v>2212.5</v>
      </c>
      <c r="P238" s="1" t="str">
        <f t="shared" si="6"/>
        <v>Normal Discount</v>
      </c>
      <c r="Q238" s="1" t="str" cm="1">
        <f t="array" ref="Q238">_xlfn.IFS(O238&gt;7000,"Exellent Sale",O238&gt;4000,"Good Sale",O238&lt;4000,"Average Sale")</f>
        <v>Average Sale</v>
      </c>
      <c r="R238" s="1" t="str">
        <f t="shared" si="7"/>
        <v>Normal Order</v>
      </c>
    </row>
    <row r="239" spans="1:18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4">
        <v>1934.74</v>
      </c>
      <c r="P239" s="1" t="str">
        <f t="shared" si="6"/>
        <v>Havy Discount</v>
      </c>
      <c r="Q239" s="1" t="str" cm="1">
        <f t="array" ref="Q239">_xlfn.IFS(O239&gt;7000,"Exellent Sale",O239&gt;4000,"Good Sale",O239&lt;4000,"Average Sale")</f>
        <v>Average Sale</v>
      </c>
      <c r="R239" s="1" t="str">
        <f t="shared" si="7"/>
        <v>Normal Order</v>
      </c>
    </row>
    <row r="240" spans="1:18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4">
        <v>7129.01</v>
      </c>
      <c r="P240" s="1" t="str">
        <f t="shared" si="6"/>
        <v>Normal Discount</v>
      </c>
      <c r="Q240" s="1" t="str" cm="1">
        <f t="array" ref="Q240">_xlfn.IFS(O240&gt;7000,"Exellent Sale",O240&gt;4000,"Good Sale",O240&lt;4000,"Average Sale")</f>
        <v>Exellent Sale</v>
      </c>
      <c r="R240" s="1" t="str">
        <f t="shared" si="7"/>
        <v>Normal Order</v>
      </c>
    </row>
    <row r="241" spans="1:18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4">
        <v>2151.1999999999998</v>
      </c>
      <c r="P241" s="1" t="str">
        <f t="shared" si="6"/>
        <v>Normal Discount</v>
      </c>
      <c r="Q241" s="1" t="str" cm="1">
        <f t="array" ref="Q241">_xlfn.IFS(O241&gt;7000,"Exellent Sale",O241&gt;4000,"Good Sale",O241&lt;4000,"Average Sale")</f>
        <v>Average Sale</v>
      </c>
      <c r="R241" s="1" t="str">
        <f t="shared" si="7"/>
        <v>Normal Order</v>
      </c>
    </row>
    <row r="242" spans="1:18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4">
        <v>11168.58</v>
      </c>
      <c r="P242" s="1" t="str">
        <f t="shared" si="6"/>
        <v>Normal Discount</v>
      </c>
      <c r="Q242" s="1" t="str" cm="1">
        <f t="array" ref="Q242">_xlfn.IFS(O242&gt;7000,"Exellent Sale",O242&gt;4000,"Good Sale",O242&lt;4000,"Average Sale")</f>
        <v>Exellent Sale</v>
      </c>
      <c r="R242" s="1" t="str">
        <f t="shared" si="7"/>
        <v>Priority Order</v>
      </c>
    </row>
    <row r="243" spans="1:18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4">
        <v>15068.02</v>
      </c>
      <c r="P243" s="1" t="str">
        <f t="shared" si="6"/>
        <v>Havy Discount</v>
      </c>
      <c r="Q243" s="1" t="str" cm="1">
        <f t="array" ref="Q243">_xlfn.IFS(O243&gt;7000,"Exellent Sale",O243&gt;4000,"Good Sale",O243&lt;4000,"Average Sale")</f>
        <v>Exellent Sale</v>
      </c>
      <c r="R243" s="1" t="str">
        <f t="shared" si="7"/>
        <v>Priority Order</v>
      </c>
    </row>
    <row r="244" spans="1:18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4">
        <v>962.45</v>
      </c>
      <c r="P244" s="1" t="str">
        <f t="shared" si="6"/>
        <v>Havy Discount</v>
      </c>
      <c r="Q244" s="1" t="str" cm="1">
        <f t="array" ref="Q244">_xlfn.IFS(O244&gt;7000,"Exellent Sale",O244&gt;4000,"Good Sale",O244&lt;4000,"Average Sale")</f>
        <v>Average Sale</v>
      </c>
      <c r="R244" s="1" t="str">
        <f t="shared" si="7"/>
        <v>Normal Order</v>
      </c>
    </row>
    <row r="245" spans="1:18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4">
        <v>2402.67</v>
      </c>
      <c r="P245" s="1" t="str">
        <f t="shared" si="6"/>
        <v>Normal Discount</v>
      </c>
      <c r="Q245" s="1" t="str" cm="1">
        <f t="array" ref="Q245">_xlfn.IFS(O245&gt;7000,"Exellent Sale",O245&gt;4000,"Good Sale",O245&lt;4000,"Average Sale")</f>
        <v>Average Sale</v>
      </c>
      <c r="R245" s="1" t="str">
        <f t="shared" si="7"/>
        <v>Normal Order</v>
      </c>
    </row>
    <row r="246" spans="1:18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4">
        <v>9628.48</v>
      </c>
      <c r="P246" s="1" t="str">
        <f t="shared" si="6"/>
        <v>Havy Discount</v>
      </c>
      <c r="Q246" s="1" t="str" cm="1">
        <f t="array" ref="Q246">_xlfn.IFS(O246&gt;7000,"Exellent Sale",O246&gt;4000,"Good Sale",O246&lt;4000,"Average Sale")</f>
        <v>Exellent Sale</v>
      </c>
      <c r="R246" s="1" t="str">
        <f t="shared" si="7"/>
        <v>Priority Order</v>
      </c>
    </row>
    <row r="247" spans="1:18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4">
        <v>2928.33</v>
      </c>
      <c r="P247" s="1" t="str">
        <f t="shared" si="6"/>
        <v>Normal Discount</v>
      </c>
      <c r="Q247" s="1" t="str" cm="1">
        <f t="array" ref="Q247">_xlfn.IFS(O247&gt;7000,"Exellent Sale",O247&gt;4000,"Good Sale",O247&lt;4000,"Average Sale")</f>
        <v>Average Sale</v>
      </c>
      <c r="R247" s="1" t="str">
        <f t="shared" si="7"/>
        <v>Normal Order</v>
      </c>
    </row>
    <row r="248" spans="1:18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4">
        <v>11772.71</v>
      </c>
      <c r="P248" s="1" t="str">
        <f t="shared" si="6"/>
        <v>Havy Discount</v>
      </c>
      <c r="Q248" s="1" t="str" cm="1">
        <f t="array" ref="Q248">_xlfn.IFS(O248&gt;7000,"Exellent Sale",O248&gt;4000,"Good Sale",O248&lt;4000,"Average Sale")</f>
        <v>Exellent Sale</v>
      </c>
      <c r="R248" s="1" t="str">
        <f t="shared" si="7"/>
        <v>Priority Order</v>
      </c>
    </row>
    <row r="249" spans="1:18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4">
        <v>14593.15</v>
      </c>
      <c r="P249" s="1" t="str">
        <f t="shared" si="6"/>
        <v>Havy Discount</v>
      </c>
      <c r="Q249" s="1" t="str" cm="1">
        <f t="array" ref="Q249">_xlfn.IFS(O249&gt;7000,"Exellent Sale",O249&gt;4000,"Good Sale",O249&lt;4000,"Average Sale")</f>
        <v>Exellent Sale</v>
      </c>
      <c r="R249" s="1" t="str">
        <f t="shared" si="7"/>
        <v>Priority Order</v>
      </c>
    </row>
    <row r="250" spans="1:18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4">
        <v>3942.92</v>
      </c>
      <c r="P250" s="1" t="str">
        <f t="shared" si="6"/>
        <v>Normal Discount</v>
      </c>
      <c r="Q250" s="1" t="str" cm="1">
        <f t="array" ref="Q250">_xlfn.IFS(O250&gt;7000,"Exellent Sale",O250&gt;4000,"Good Sale",O250&lt;4000,"Average Sale")</f>
        <v>Average Sale</v>
      </c>
      <c r="R250" s="1" t="str">
        <f t="shared" si="7"/>
        <v>Normal Order</v>
      </c>
    </row>
    <row r="251" spans="1:18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4">
        <v>23767.17</v>
      </c>
      <c r="P251" s="1" t="str">
        <f t="shared" si="6"/>
        <v>Havy Discount</v>
      </c>
      <c r="Q251" s="1" t="str" cm="1">
        <f t="array" ref="Q251">_xlfn.IFS(O251&gt;7000,"Exellent Sale",O251&gt;4000,"Good Sale",O251&lt;4000,"Average Sale")</f>
        <v>Exellent Sale</v>
      </c>
      <c r="R251" s="1" t="str">
        <f t="shared" si="7"/>
        <v>Priority Order</v>
      </c>
    </row>
    <row r="252" spans="1:18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4">
        <v>11662.66</v>
      </c>
      <c r="P252" s="1" t="str">
        <f t="shared" si="6"/>
        <v>Havy Discount</v>
      </c>
      <c r="Q252" s="1" t="str" cm="1">
        <f t="array" ref="Q252">_xlfn.IFS(O252&gt;7000,"Exellent Sale",O252&gt;4000,"Good Sale",O252&lt;4000,"Average Sale")</f>
        <v>Exellent Sale</v>
      </c>
      <c r="R252" s="1" t="str">
        <f t="shared" si="7"/>
        <v>Priority Order</v>
      </c>
    </row>
    <row r="253" spans="1:18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4">
        <v>5980.16</v>
      </c>
      <c r="P253" s="1" t="str">
        <f t="shared" si="6"/>
        <v>Havy Discount</v>
      </c>
      <c r="Q253" s="1" t="str" cm="1">
        <f t="array" ref="Q253">_xlfn.IFS(O253&gt;7000,"Exellent Sale",O253&gt;4000,"Good Sale",O253&lt;4000,"Average Sale")</f>
        <v>Good Sale</v>
      </c>
      <c r="R253" s="1" t="str">
        <f t="shared" si="7"/>
        <v>Normal Order</v>
      </c>
    </row>
    <row r="254" spans="1:18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4">
        <v>10762.15</v>
      </c>
      <c r="P254" s="1" t="str">
        <f t="shared" si="6"/>
        <v>Havy Discount</v>
      </c>
      <c r="Q254" s="1" t="str" cm="1">
        <f t="array" ref="Q254">_xlfn.IFS(O254&gt;7000,"Exellent Sale",O254&gt;4000,"Good Sale",O254&lt;4000,"Average Sale")</f>
        <v>Exellent Sale</v>
      </c>
      <c r="R254" s="1" t="str">
        <f t="shared" si="7"/>
        <v>Normal Order</v>
      </c>
    </row>
    <row r="255" spans="1:18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4">
        <v>5423.32</v>
      </c>
      <c r="P255" s="1" t="str">
        <f t="shared" si="6"/>
        <v>Normal Discount</v>
      </c>
      <c r="Q255" s="1" t="str" cm="1">
        <f t="array" ref="Q255">_xlfn.IFS(O255&gt;7000,"Exellent Sale",O255&gt;4000,"Good Sale",O255&lt;4000,"Average Sale")</f>
        <v>Good Sale</v>
      </c>
      <c r="R255" s="1" t="str">
        <f t="shared" si="7"/>
        <v>Normal Order</v>
      </c>
    </row>
    <row r="256" spans="1:18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4">
        <v>15894.71</v>
      </c>
      <c r="P256" s="1" t="str">
        <f t="shared" si="6"/>
        <v>Havy Discount</v>
      </c>
      <c r="Q256" s="1" t="str" cm="1">
        <f t="array" ref="Q256">_xlfn.IFS(O256&gt;7000,"Exellent Sale",O256&gt;4000,"Good Sale",O256&lt;4000,"Average Sale")</f>
        <v>Exellent Sale</v>
      </c>
      <c r="R256" s="1" t="str">
        <f t="shared" si="7"/>
        <v>Priority Order</v>
      </c>
    </row>
    <row r="257" spans="1:18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4">
        <v>15796.32</v>
      </c>
      <c r="P257" s="1" t="str">
        <f t="shared" si="6"/>
        <v>Normal Discount</v>
      </c>
      <c r="Q257" s="1" t="str" cm="1">
        <f t="array" ref="Q257">_xlfn.IFS(O257&gt;7000,"Exellent Sale",O257&gt;4000,"Good Sale",O257&lt;4000,"Average Sale")</f>
        <v>Exellent Sale</v>
      </c>
      <c r="R257" s="1" t="str">
        <f t="shared" si="7"/>
        <v>Priority Order</v>
      </c>
    </row>
    <row r="258" spans="1:18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4">
        <v>685.71</v>
      </c>
      <c r="P258" s="1" t="str">
        <f t="shared" si="6"/>
        <v>Normal Discount</v>
      </c>
      <c r="Q258" s="1" t="str" cm="1">
        <f t="array" ref="Q258">_xlfn.IFS(O258&gt;7000,"Exellent Sale",O258&gt;4000,"Good Sale",O258&lt;4000,"Average Sale")</f>
        <v>Average Sale</v>
      </c>
      <c r="R258" s="1" t="str">
        <f t="shared" si="7"/>
        <v>Normal Order</v>
      </c>
    </row>
    <row r="259" spans="1:18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4">
        <v>12628.35</v>
      </c>
      <c r="P259" s="1" t="str">
        <f t="shared" ref="P259:P322" si="8">IF(N259&gt;10,"Havy Discount","Normal Discount")</f>
        <v>Normal Discount</v>
      </c>
      <c r="Q259" s="1" t="str" cm="1">
        <f t="array" ref="Q259">_xlfn.IFS(O259&gt;7000,"Exellent Sale",O259&gt;4000,"Good Sale",O259&lt;4000,"Average Sale")</f>
        <v>Exellent Sale</v>
      </c>
      <c r="R259" s="1" t="str">
        <f t="shared" ref="R259:R322" si="9">IF(AND(O259&gt;7000,L259&gt;5),"Priority Order","Normal Order")</f>
        <v>Priority Order</v>
      </c>
    </row>
    <row r="260" spans="1:18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4">
        <v>10464.43</v>
      </c>
      <c r="P260" s="1" t="str">
        <f t="shared" si="8"/>
        <v>Normal Discount</v>
      </c>
      <c r="Q260" s="1" t="str" cm="1">
        <f t="array" ref="Q260">_xlfn.IFS(O260&gt;7000,"Exellent Sale",O260&gt;4000,"Good Sale",O260&lt;4000,"Average Sale")</f>
        <v>Exellent Sale</v>
      </c>
      <c r="R260" s="1" t="str">
        <f t="shared" si="9"/>
        <v>Priority Order</v>
      </c>
    </row>
    <row r="261" spans="1:18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4">
        <v>1844.86</v>
      </c>
      <c r="P261" s="1" t="str">
        <f t="shared" si="8"/>
        <v>Normal Discount</v>
      </c>
      <c r="Q261" s="1" t="str" cm="1">
        <f t="array" ref="Q261">_xlfn.IFS(O261&gt;7000,"Exellent Sale",O261&gt;4000,"Good Sale",O261&lt;4000,"Average Sale")</f>
        <v>Average Sale</v>
      </c>
      <c r="R261" s="1" t="str">
        <f t="shared" si="9"/>
        <v>Normal Order</v>
      </c>
    </row>
    <row r="262" spans="1:18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4">
        <v>1066.5</v>
      </c>
      <c r="P262" s="1" t="str">
        <f t="shared" si="8"/>
        <v>Normal Discount</v>
      </c>
      <c r="Q262" s="1" t="str" cm="1">
        <f t="array" ref="Q262">_xlfn.IFS(O262&gt;7000,"Exellent Sale",O262&gt;4000,"Good Sale",O262&lt;4000,"Average Sale")</f>
        <v>Average Sale</v>
      </c>
      <c r="R262" s="1" t="str">
        <f t="shared" si="9"/>
        <v>Normal Order</v>
      </c>
    </row>
    <row r="263" spans="1:18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4">
        <v>15575.43</v>
      </c>
      <c r="P263" s="1" t="str">
        <f t="shared" si="8"/>
        <v>Normal Discount</v>
      </c>
      <c r="Q263" s="1" t="str" cm="1">
        <f t="array" ref="Q263">_xlfn.IFS(O263&gt;7000,"Exellent Sale",O263&gt;4000,"Good Sale",O263&lt;4000,"Average Sale")</f>
        <v>Exellent Sale</v>
      </c>
      <c r="R263" s="1" t="str">
        <f t="shared" si="9"/>
        <v>Priority Order</v>
      </c>
    </row>
    <row r="264" spans="1:18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4">
        <v>15161.02</v>
      </c>
      <c r="P264" s="1" t="str">
        <f t="shared" si="8"/>
        <v>Normal Discount</v>
      </c>
      <c r="Q264" s="1" t="str" cm="1">
        <f t="array" ref="Q264">_xlfn.IFS(O264&gt;7000,"Exellent Sale",O264&gt;4000,"Good Sale",O264&lt;4000,"Average Sale")</f>
        <v>Exellent Sale</v>
      </c>
      <c r="R264" s="1" t="str">
        <f t="shared" si="9"/>
        <v>Priority Order</v>
      </c>
    </row>
    <row r="265" spans="1:18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4">
        <v>3604.16</v>
      </c>
      <c r="P265" s="1" t="str">
        <f t="shared" si="8"/>
        <v>Havy Discount</v>
      </c>
      <c r="Q265" s="1" t="str" cm="1">
        <f t="array" ref="Q265">_xlfn.IFS(O265&gt;7000,"Exellent Sale",O265&gt;4000,"Good Sale",O265&lt;4000,"Average Sale")</f>
        <v>Average Sale</v>
      </c>
      <c r="R265" s="1" t="str">
        <f t="shared" si="9"/>
        <v>Normal Order</v>
      </c>
    </row>
    <row r="266" spans="1:18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4">
        <v>14134.75</v>
      </c>
      <c r="P266" s="1" t="str">
        <f t="shared" si="8"/>
        <v>Havy Discount</v>
      </c>
      <c r="Q266" s="1" t="str" cm="1">
        <f t="array" ref="Q266">_xlfn.IFS(O266&gt;7000,"Exellent Sale",O266&gt;4000,"Good Sale",O266&lt;4000,"Average Sale")</f>
        <v>Exellent Sale</v>
      </c>
      <c r="R266" s="1" t="str">
        <f t="shared" si="9"/>
        <v>Priority Order</v>
      </c>
    </row>
    <row r="267" spans="1:18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4">
        <v>14724.65</v>
      </c>
      <c r="P267" s="1" t="str">
        <f t="shared" si="8"/>
        <v>Normal Discount</v>
      </c>
      <c r="Q267" s="1" t="str" cm="1">
        <f t="array" ref="Q267">_xlfn.IFS(O267&gt;7000,"Exellent Sale",O267&gt;4000,"Good Sale",O267&lt;4000,"Average Sale")</f>
        <v>Exellent Sale</v>
      </c>
      <c r="R267" s="1" t="str">
        <f t="shared" si="9"/>
        <v>Priority Order</v>
      </c>
    </row>
    <row r="268" spans="1:18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4">
        <v>855.74</v>
      </c>
      <c r="P268" s="1" t="str">
        <f t="shared" si="8"/>
        <v>Normal Discount</v>
      </c>
      <c r="Q268" s="1" t="str" cm="1">
        <f t="array" ref="Q268">_xlfn.IFS(O268&gt;7000,"Exellent Sale",O268&gt;4000,"Good Sale",O268&lt;4000,"Average Sale")</f>
        <v>Average Sale</v>
      </c>
      <c r="R268" s="1" t="str">
        <f t="shared" si="9"/>
        <v>Normal Order</v>
      </c>
    </row>
    <row r="269" spans="1:18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4">
        <v>2394.5</v>
      </c>
      <c r="P269" s="1" t="str">
        <f t="shared" si="8"/>
        <v>Normal Discount</v>
      </c>
      <c r="Q269" s="1" t="str" cm="1">
        <f t="array" ref="Q269">_xlfn.IFS(O269&gt;7000,"Exellent Sale",O269&gt;4000,"Good Sale",O269&lt;4000,"Average Sale")</f>
        <v>Average Sale</v>
      </c>
      <c r="R269" s="1" t="str">
        <f t="shared" si="9"/>
        <v>Normal Order</v>
      </c>
    </row>
    <row r="270" spans="1:18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4">
        <v>12626.16</v>
      </c>
      <c r="P270" s="1" t="str">
        <f t="shared" si="8"/>
        <v>Havy Discount</v>
      </c>
      <c r="Q270" s="1" t="str" cm="1">
        <f t="array" ref="Q270">_xlfn.IFS(O270&gt;7000,"Exellent Sale",O270&gt;4000,"Good Sale",O270&lt;4000,"Average Sale")</f>
        <v>Exellent Sale</v>
      </c>
      <c r="R270" s="1" t="str">
        <f t="shared" si="9"/>
        <v>Normal Order</v>
      </c>
    </row>
    <row r="271" spans="1:18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4">
        <v>17264.5</v>
      </c>
      <c r="P271" s="1" t="str">
        <f t="shared" si="8"/>
        <v>Normal Discount</v>
      </c>
      <c r="Q271" s="1" t="str" cm="1">
        <f t="array" ref="Q271">_xlfn.IFS(O271&gt;7000,"Exellent Sale",O271&gt;4000,"Good Sale",O271&lt;4000,"Average Sale")</f>
        <v>Exellent Sale</v>
      </c>
      <c r="R271" s="1" t="str">
        <f t="shared" si="9"/>
        <v>Priority Order</v>
      </c>
    </row>
    <row r="272" spans="1:18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4">
        <v>7408.53</v>
      </c>
      <c r="P272" s="1" t="str">
        <f t="shared" si="8"/>
        <v>Normal Discount</v>
      </c>
      <c r="Q272" s="1" t="str" cm="1">
        <f t="array" ref="Q272">_xlfn.IFS(O272&gt;7000,"Exellent Sale",O272&gt;4000,"Good Sale",O272&lt;4000,"Average Sale")</f>
        <v>Exellent Sale</v>
      </c>
      <c r="R272" s="1" t="str">
        <f t="shared" si="9"/>
        <v>Normal Order</v>
      </c>
    </row>
    <row r="273" spans="1:18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4">
        <v>17170.46</v>
      </c>
      <c r="P273" s="1" t="str">
        <f t="shared" si="8"/>
        <v>Normal Discount</v>
      </c>
      <c r="Q273" s="1" t="str" cm="1">
        <f t="array" ref="Q273">_xlfn.IFS(O273&gt;7000,"Exellent Sale",O273&gt;4000,"Good Sale",O273&lt;4000,"Average Sale")</f>
        <v>Exellent Sale</v>
      </c>
      <c r="R273" s="1" t="str">
        <f t="shared" si="9"/>
        <v>Priority Order</v>
      </c>
    </row>
    <row r="274" spans="1:18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4">
        <v>2193.8200000000002</v>
      </c>
      <c r="P274" s="1" t="str">
        <f t="shared" si="8"/>
        <v>Normal Discount</v>
      </c>
      <c r="Q274" s="1" t="str" cm="1">
        <f t="array" ref="Q274">_xlfn.IFS(O274&gt;7000,"Exellent Sale",O274&gt;4000,"Good Sale",O274&lt;4000,"Average Sale")</f>
        <v>Average Sale</v>
      </c>
      <c r="R274" s="1" t="str">
        <f t="shared" si="9"/>
        <v>Normal Order</v>
      </c>
    </row>
    <row r="275" spans="1:18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4">
        <v>5032.6000000000004</v>
      </c>
      <c r="P275" s="1" t="str">
        <f t="shared" si="8"/>
        <v>Normal Discount</v>
      </c>
      <c r="Q275" s="1" t="str" cm="1">
        <f t="array" ref="Q275">_xlfn.IFS(O275&gt;7000,"Exellent Sale",O275&gt;4000,"Good Sale",O275&lt;4000,"Average Sale")</f>
        <v>Good Sale</v>
      </c>
      <c r="R275" s="1" t="str">
        <f t="shared" si="9"/>
        <v>Normal Order</v>
      </c>
    </row>
    <row r="276" spans="1:18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4">
        <v>3029.14</v>
      </c>
      <c r="P276" s="1" t="str">
        <f t="shared" si="8"/>
        <v>Havy Discount</v>
      </c>
      <c r="Q276" s="1" t="str" cm="1">
        <f t="array" ref="Q276">_xlfn.IFS(O276&gt;7000,"Exellent Sale",O276&gt;4000,"Good Sale",O276&lt;4000,"Average Sale")</f>
        <v>Average Sale</v>
      </c>
      <c r="R276" s="1" t="str">
        <f t="shared" si="9"/>
        <v>Normal Order</v>
      </c>
    </row>
    <row r="277" spans="1:18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4">
        <v>24708.61</v>
      </c>
      <c r="P277" s="1" t="str">
        <f t="shared" si="8"/>
        <v>Havy Discount</v>
      </c>
      <c r="Q277" s="1" t="str" cm="1">
        <f t="array" ref="Q277">_xlfn.IFS(O277&gt;7000,"Exellent Sale",O277&gt;4000,"Good Sale",O277&lt;4000,"Average Sale")</f>
        <v>Exellent Sale</v>
      </c>
      <c r="R277" s="1" t="str">
        <f t="shared" si="9"/>
        <v>Priority Order</v>
      </c>
    </row>
    <row r="278" spans="1:18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4">
        <v>4824.43</v>
      </c>
      <c r="P278" s="1" t="str">
        <f t="shared" si="8"/>
        <v>Havy Discount</v>
      </c>
      <c r="Q278" s="1" t="str" cm="1">
        <f t="array" ref="Q278">_xlfn.IFS(O278&gt;7000,"Exellent Sale",O278&gt;4000,"Good Sale",O278&lt;4000,"Average Sale")</f>
        <v>Good Sale</v>
      </c>
      <c r="R278" s="1" t="str">
        <f t="shared" si="9"/>
        <v>Normal Order</v>
      </c>
    </row>
    <row r="279" spans="1:18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4">
        <v>3965.44</v>
      </c>
      <c r="P279" s="1" t="str">
        <f t="shared" si="8"/>
        <v>Normal Discount</v>
      </c>
      <c r="Q279" s="1" t="str" cm="1">
        <f t="array" ref="Q279">_xlfn.IFS(O279&gt;7000,"Exellent Sale",O279&gt;4000,"Good Sale",O279&lt;4000,"Average Sale")</f>
        <v>Average Sale</v>
      </c>
      <c r="R279" s="1" t="str">
        <f t="shared" si="9"/>
        <v>Normal Order</v>
      </c>
    </row>
    <row r="280" spans="1:18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4">
        <v>21449.22</v>
      </c>
      <c r="P280" s="1" t="str">
        <f t="shared" si="8"/>
        <v>Normal Discount</v>
      </c>
      <c r="Q280" s="1" t="str" cm="1">
        <f t="array" ref="Q280">_xlfn.IFS(O280&gt;7000,"Exellent Sale",O280&gt;4000,"Good Sale",O280&lt;4000,"Average Sale")</f>
        <v>Exellent Sale</v>
      </c>
      <c r="R280" s="1" t="str">
        <f t="shared" si="9"/>
        <v>Priority Order</v>
      </c>
    </row>
    <row r="281" spans="1:18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4">
        <v>25732.02</v>
      </c>
      <c r="P281" s="1" t="str">
        <f t="shared" si="8"/>
        <v>Havy Discount</v>
      </c>
      <c r="Q281" s="1" t="str" cm="1">
        <f t="array" ref="Q281">_xlfn.IFS(O281&gt;7000,"Exellent Sale",O281&gt;4000,"Good Sale",O281&lt;4000,"Average Sale")</f>
        <v>Exellent Sale</v>
      </c>
      <c r="R281" s="1" t="str">
        <f t="shared" si="9"/>
        <v>Priority Order</v>
      </c>
    </row>
    <row r="282" spans="1:18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4">
        <v>15492.2</v>
      </c>
      <c r="P282" s="1" t="str">
        <f t="shared" si="8"/>
        <v>Normal Discount</v>
      </c>
      <c r="Q282" s="1" t="str" cm="1">
        <f t="array" ref="Q282">_xlfn.IFS(O282&gt;7000,"Exellent Sale",O282&gt;4000,"Good Sale",O282&lt;4000,"Average Sale")</f>
        <v>Exellent Sale</v>
      </c>
      <c r="R282" s="1" t="str">
        <f t="shared" si="9"/>
        <v>Normal Order</v>
      </c>
    </row>
    <row r="283" spans="1:18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4">
        <v>409.94</v>
      </c>
      <c r="P283" s="1" t="str">
        <f t="shared" si="8"/>
        <v>Havy Discount</v>
      </c>
      <c r="Q283" s="1" t="str" cm="1">
        <f t="array" ref="Q283">_xlfn.IFS(O283&gt;7000,"Exellent Sale",O283&gt;4000,"Good Sale",O283&lt;4000,"Average Sale")</f>
        <v>Average Sale</v>
      </c>
      <c r="R283" s="1" t="str">
        <f t="shared" si="9"/>
        <v>Normal Order</v>
      </c>
    </row>
    <row r="284" spans="1:18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4">
        <v>465.54</v>
      </c>
      <c r="P284" s="1" t="str">
        <f t="shared" si="8"/>
        <v>Normal Discount</v>
      </c>
      <c r="Q284" s="1" t="str" cm="1">
        <f t="array" ref="Q284">_xlfn.IFS(O284&gt;7000,"Exellent Sale",O284&gt;4000,"Good Sale",O284&lt;4000,"Average Sale")</f>
        <v>Average Sale</v>
      </c>
      <c r="R284" s="1" t="str">
        <f t="shared" si="9"/>
        <v>Normal Order</v>
      </c>
    </row>
    <row r="285" spans="1:18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4">
        <v>8189.02</v>
      </c>
      <c r="P285" s="1" t="str">
        <f t="shared" si="8"/>
        <v>Havy Discount</v>
      </c>
      <c r="Q285" s="1" t="str" cm="1">
        <f t="array" ref="Q285">_xlfn.IFS(O285&gt;7000,"Exellent Sale",O285&gt;4000,"Good Sale",O285&lt;4000,"Average Sale")</f>
        <v>Exellent Sale</v>
      </c>
      <c r="R285" s="1" t="str">
        <f t="shared" si="9"/>
        <v>Priority Order</v>
      </c>
    </row>
    <row r="286" spans="1:18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4">
        <v>1263.73</v>
      </c>
      <c r="P286" s="1" t="str">
        <f t="shared" si="8"/>
        <v>Normal Discount</v>
      </c>
      <c r="Q286" s="1" t="str" cm="1">
        <f t="array" ref="Q286">_xlfn.IFS(O286&gt;7000,"Exellent Sale",O286&gt;4000,"Good Sale",O286&lt;4000,"Average Sale")</f>
        <v>Average Sale</v>
      </c>
      <c r="R286" s="1" t="str">
        <f t="shared" si="9"/>
        <v>Normal Order</v>
      </c>
    </row>
    <row r="287" spans="1:18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4">
        <v>1258.5</v>
      </c>
      <c r="P287" s="1" t="str">
        <f t="shared" si="8"/>
        <v>Normal Discount</v>
      </c>
      <c r="Q287" s="1" t="str" cm="1">
        <f t="array" ref="Q287">_xlfn.IFS(O287&gt;7000,"Exellent Sale",O287&gt;4000,"Good Sale",O287&lt;4000,"Average Sale")</f>
        <v>Average Sale</v>
      </c>
      <c r="R287" s="1" t="str">
        <f t="shared" si="9"/>
        <v>Normal Order</v>
      </c>
    </row>
    <row r="288" spans="1:18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4">
        <v>11619.96</v>
      </c>
      <c r="P288" s="1" t="str">
        <f t="shared" si="8"/>
        <v>Normal Discount</v>
      </c>
      <c r="Q288" s="1" t="str" cm="1">
        <f t="array" ref="Q288">_xlfn.IFS(O288&gt;7000,"Exellent Sale",O288&gt;4000,"Good Sale",O288&lt;4000,"Average Sale")</f>
        <v>Exellent Sale</v>
      </c>
      <c r="R288" s="1" t="str">
        <f t="shared" si="9"/>
        <v>Priority Order</v>
      </c>
    </row>
    <row r="289" spans="1:18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4">
        <v>28734</v>
      </c>
      <c r="P289" s="1" t="str">
        <f t="shared" si="8"/>
        <v>Normal Discount</v>
      </c>
      <c r="Q289" s="1" t="str" cm="1">
        <f t="array" ref="Q289">_xlfn.IFS(O289&gt;7000,"Exellent Sale",O289&gt;4000,"Good Sale",O289&lt;4000,"Average Sale")</f>
        <v>Exellent Sale</v>
      </c>
      <c r="R289" s="1" t="str">
        <f t="shared" si="9"/>
        <v>Priority Order</v>
      </c>
    </row>
    <row r="290" spans="1:18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4">
        <v>7821.58</v>
      </c>
      <c r="P290" s="1" t="str">
        <f t="shared" si="8"/>
        <v>Havy Discount</v>
      </c>
      <c r="Q290" s="1" t="str" cm="1">
        <f t="array" ref="Q290">_xlfn.IFS(O290&gt;7000,"Exellent Sale",O290&gt;4000,"Good Sale",O290&lt;4000,"Average Sale")</f>
        <v>Exellent Sale</v>
      </c>
      <c r="R290" s="1" t="str">
        <f t="shared" si="9"/>
        <v>Priority Order</v>
      </c>
    </row>
    <row r="291" spans="1:18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4">
        <v>19406.810000000001</v>
      </c>
      <c r="P291" s="1" t="str">
        <f t="shared" si="8"/>
        <v>Normal Discount</v>
      </c>
      <c r="Q291" s="1" t="str" cm="1">
        <f t="array" ref="Q291">_xlfn.IFS(O291&gt;7000,"Exellent Sale",O291&gt;4000,"Good Sale",O291&lt;4000,"Average Sale")</f>
        <v>Exellent Sale</v>
      </c>
      <c r="R291" s="1" t="str">
        <f t="shared" si="9"/>
        <v>Priority Order</v>
      </c>
    </row>
    <row r="292" spans="1:18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4">
        <v>21554.99</v>
      </c>
      <c r="P292" s="1" t="str">
        <f t="shared" si="8"/>
        <v>Normal Discount</v>
      </c>
      <c r="Q292" s="1" t="str" cm="1">
        <f t="array" ref="Q292">_xlfn.IFS(O292&gt;7000,"Exellent Sale",O292&gt;4000,"Good Sale",O292&lt;4000,"Average Sale")</f>
        <v>Exellent Sale</v>
      </c>
      <c r="R292" s="1" t="str">
        <f t="shared" si="9"/>
        <v>Priority Order</v>
      </c>
    </row>
    <row r="293" spans="1:18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4">
        <v>6699.96</v>
      </c>
      <c r="P293" s="1" t="str">
        <f t="shared" si="8"/>
        <v>Normal Discount</v>
      </c>
      <c r="Q293" s="1" t="str" cm="1">
        <f t="array" ref="Q293">_xlfn.IFS(O293&gt;7000,"Exellent Sale",O293&gt;4000,"Good Sale",O293&lt;4000,"Average Sale")</f>
        <v>Good Sale</v>
      </c>
      <c r="R293" s="1" t="str">
        <f t="shared" si="9"/>
        <v>Normal Order</v>
      </c>
    </row>
    <row r="294" spans="1:18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4">
        <v>7166.18</v>
      </c>
      <c r="P294" s="1" t="str">
        <f t="shared" si="8"/>
        <v>Normal Discount</v>
      </c>
      <c r="Q294" s="1" t="str" cm="1">
        <f t="array" ref="Q294">_xlfn.IFS(O294&gt;7000,"Exellent Sale",O294&gt;4000,"Good Sale",O294&lt;4000,"Average Sale")</f>
        <v>Exellent Sale</v>
      </c>
      <c r="R294" s="1" t="str">
        <f t="shared" si="9"/>
        <v>Normal Order</v>
      </c>
    </row>
    <row r="295" spans="1:18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4">
        <v>2902.47</v>
      </c>
      <c r="P295" s="1" t="str">
        <f t="shared" si="8"/>
        <v>Normal Discount</v>
      </c>
      <c r="Q295" s="1" t="str" cm="1">
        <f t="array" ref="Q295">_xlfn.IFS(O295&gt;7000,"Exellent Sale",O295&gt;4000,"Good Sale",O295&lt;4000,"Average Sale")</f>
        <v>Average Sale</v>
      </c>
      <c r="R295" s="1" t="str">
        <f t="shared" si="9"/>
        <v>Normal Order</v>
      </c>
    </row>
    <row r="296" spans="1:18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4">
        <v>619.73</v>
      </c>
      <c r="P296" s="1" t="str">
        <f t="shared" si="8"/>
        <v>Normal Discount</v>
      </c>
      <c r="Q296" s="1" t="str" cm="1">
        <f t="array" ref="Q296">_xlfn.IFS(O296&gt;7000,"Exellent Sale",O296&gt;4000,"Good Sale",O296&lt;4000,"Average Sale")</f>
        <v>Average Sale</v>
      </c>
      <c r="R296" s="1" t="str">
        <f t="shared" si="9"/>
        <v>Normal Order</v>
      </c>
    </row>
    <row r="297" spans="1:18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4">
        <v>13539.07</v>
      </c>
      <c r="P297" s="1" t="str">
        <f t="shared" si="8"/>
        <v>Normal Discount</v>
      </c>
      <c r="Q297" s="1" t="str" cm="1">
        <f t="array" ref="Q297">_xlfn.IFS(O297&gt;7000,"Exellent Sale",O297&gt;4000,"Good Sale",O297&lt;4000,"Average Sale")</f>
        <v>Exellent Sale</v>
      </c>
      <c r="R297" s="1" t="str">
        <f t="shared" si="9"/>
        <v>Normal Order</v>
      </c>
    </row>
    <row r="298" spans="1:18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4">
        <v>2112.3000000000002</v>
      </c>
      <c r="P298" s="1" t="str">
        <f t="shared" si="8"/>
        <v>Normal Discount</v>
      </c>
      <c r="Q298" s="1" t="str" cm="1">
        <f t="array" ref="Q298">_xlfn.IFS(O298&gt;7000,"Exellent Sale",O298&gt;4000,"Good Sale",O298&lt;4000,"Average Sale")</f>
        <v>Average Sale</v>
      </c>
      <c r="R298" s="1" t="str">
        <f t="shared" si="9"/>
        <v>Normal Order</v>
      </c>
    </row>
    <row r="299" spans="1:18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4">
        <v>35892.9</v>
      </c>
      <c r="P299" s="1" t="str">
        <f t="shared" si="8"/>
        <v>Normal Discount</v>
      </c>
      <c r="Q299" s="1" t="str" cm="1">
        <f t="array" ref="Q299">_xlfn.IFS(O299&gt;7000,"Exellent Sale",O299&gt;4000,"Good Sale",O299&lt;4000,"Average Sale")</f>
        <v>Exellent Sale</v>
      </c>
      <c r="R299" s="1" t="str">
        <f t="shared" si="9"/>
        <v>Priority Order</v>
      </c>
    </row>
    <row r="300" spans="1:18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4">
        <v>7321.28</v>
      </c>
      <c r="P300" s="1" t="str">
        <f t="shared" si="8"/>
        <v>Normal Discount</v>
      </c>
      <c r="Q300" s="1" t="str" cm="1">
        <f t="array" ref="Q300">_xlfn.IFS(O300&gt;7000,"Exellent Sale",O300&gt;4000,"Good Sale",O300&lt;4000,"Average Sale")</f>
        <v>Exellent Sale</v>
      </c>
      <c r="R300" s="1" t="str">
        <f t="shared" si="9"/>
        <v>Priority Order</v>
      </c>
    </row>
    <row r="301" spans="1:18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4">
        <v>10359.16</v>
      </c>
      <c r="P301" s="1" t="str">
        <f t="shared" si="8"/>
        <v>Havy Discount</v>
      </c>
      <c r="Q301" s="1" t="str" cm="1">
        <f t="array" ref="Q301">_xlfn.IFS(O301&gt;7000,"Exellent Sale",O301&gt;4000,"Good Sale",O301&lt;4000,"Average Sale")</f>
        <v>Exellent Sale</v>
      </c>
      <c r="R301" s="1" t="str">
        <f t="shared" si="9"/>
        <v>Normal Order</v>
      </c>
    </row>
    <row r="302" spans="1:18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4">
        <v>6588.4</v>
      </c>
      <c r="P302" s="1" t="str">
        <f t="shared" si="8"/>
        <v>Normal Discount</v>
      </c>
      <c r="Q302" s="1" t="str" cm="1">
        <f t="array" ref="Q302">_xlfn.IFS(O302&gt;7000,"Exellent Sale",O302&gt;4000,"Good Sale",O302&lt;4000,"Average Sale")</f>
        <v>Good Sale</v>
      </c>
      <c r="R302" s="1" t="str">
        <f t="shared" si="9"/>
        <v>Normal Order</v>
      </c>
    </row>
    <row r="303" spans="1:18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4">
        <v>4233.32</v>
      </c>
      <c r="P303" s="1" t="str">
        <f t="shared" si="8"/>
        <v>Normal Discount</v>
      </c>
      <c r="Q303" s="1" t="str" cm="1">
        <f t="array" ref="Q303">_xlfn.IFS(O303&gt;7000,"Exellent Sale",O303&gt;4000,"Good Sale",O303&lt;4000,"Average Sale")</f>
        <v>Good Sale</v>
      </c>
      <c r="R303" s="1" t="str">
        <f t="shared" si="9"/>
        <v>Normal Order</v>
      </c>
    </row>
    <row r="304" spans="1:18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4">
        <v>1543.2</v>
      </c>
      <c r="P304" s="1" t="str">
        <f t="shared" si="8"/>
        <v>Normal Discount</v>
      </c>
      <c r="Q304" s="1" t="str" cm="1">
        <f t="array" ref="Q304">_xlfn.IFS(O304&gt;7000,"Exellent Sale",O304&gt;4000,"Good Sale",O304&lt;4000,"Average Sale")</f>
        <v>Average Sale</v>
      </c>
      <c r="R304" s="1" t="str">
        <f t="shared" si="9"/>
        <v>Normal Order</v>
      </c>
    </row>
    <row r="305" spans="1:18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4">
        <v>8152.06</v>
      </c>
      <c r="P305" s="1" t="str">
        <f t="shared" si="8"/>
        <v>Havy Discount</v>
      </c>
      <c r="Q305" s="1" t="str" cm="1">
        <f t="array" ref="Q305">_xlfn.IFS(O305&gt;7000,"Exellent Sale",O305&gt;4000,"Good Sale",O305&lt;4000,"Average Sale")</f>
        <v>Exellent Sale</v>
      </c>
      <c r="R305" s="1" t="str">
        <f t="shared" si="9"/>
        <v>Normal Order</v>
      </c>
    </row>
    <row r="306" spans="1:18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4">
        <v>5209.63</v>
      </c>
      <c r="P306" s="1" t="str">
        <f t="shared" si="8"/>
        <v>Havy Discount</v>
      </c>
      <c r="Q306" s="1" t="str" cm="1">
        <f t="array" ref="Q306">_xlfn.IFS(O306&gt;7000,"Exellent Sale",O306&gt;4000,"Good Sale",O306&lt;4000,"Average Sale")</f>
        <v>Good Sale</v>
      </c>
      <c r="R306" s="1" t="str">
        <f t="shared" si="9"/>
        <v>Normal Order</v>
      </c>
    </row>
    <row r="307" spans="1:18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4">
        <v>2713.41</v>
      </c>
      <c r="P307" s="1" t="str">
        <f t="shared" si="8"/>
        <v>Havy Discount</v>
      </c>
      <c r="Q307" s="1" t="str" cm="1">
        <f t="array" ref="Q307">_xlfn.IFS(O307&gt;7000,"Exellent Sale",O307&gt;4000,"Good Sale",O307&lt;4000,"Average Sale")</f>
        <v>Average Sale</v>
      </c>
      <c r="R307" s="1" t="str">
        <f t="shared" si="9"/>
        <v>Normal Order</v>
      </c>
    </row>
    <row r="308" spans="1:18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4">
        <v>7632.11</v>
      </c>
      <c r="P308" s="1" t="str">
        <f t="shared" si="8"/>
        <v>Normal Discount</v>
      </c>
      <c r="Q308" s="1" t="str" cm="1">
        <f t="array" ref="Q308">_xlfn.IFS(O308&gt;7000,"Exellent Sale",O308&gt;4000,"Good Sale",O308&lt;4000,"Average Sale")</f>
        <v>Exellent Sale</v>
      </c>
      <c r="R308" s="1" t="str">
        <f t="shared" si="9"/>
        <v>Normal Order</v>
      </c>
    </row>
    <row r="309" spans="1:18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4">
        <v>12572.8</v>
      </c>
      <c r="P309" s="1" t="str">
        <f t="shared" si="8"/>
        <v>Normal Discount</v>
      </c>
      <c r="Q309" s="1" t="str" cm="1">
        <f t="array" ref="Q309">_xlfn.IFS(O309&gt;7000,"Exellent Sale",O309&gt;4000,"Good Sale",O309&lt;4000,"Average Sale")</f>
        <v>Exellent Sale</v>
      </c>
      <c r="R309" s="1" t="str">
        <f t="shared" si="9"/>
        <v>Normal Order</v>
      </c>
    </row>
    <row r="310" spans="1:18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4">
        <v>2466.41</v>
      </c>
      <c r="P310" s="1" t="str">
        <f t="shared" si="8"/>
        <v>Normal Discount</v>
      </c>
      <c r="Q310" s="1" t="str" cm="1">
        <f t="array" ref="Q310">_xlfn.IFS(O310&gt;7000,"Exellent Sale",O310&gt;4000,"Good Sale",O310&lt;4000,"Average Sale")</f>
        <v>Average Sale</v>
      </c>
      <c r="R310" s="1" t="str">
        <f t="shared" si="9"/>
        <v>Normal Order</v>
      </c>
    </row>
    <row r="311" spans="1:18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4">
        <v>16748.77</v>
      </c>
      <c r="P311" s="1" t="str">
        <f t="shared" si="8"/>
        <v>Normal Discount</v>
      </c>
      <c r="Q311" s="1" t="str" cm="1">
        <f t="array" ref="Q311">_xlfn.IFS(O311&gt;7000,"Exellent Sale",O311&gt;4000,"Good Sale",O311&lt;4000,"Average Sale")</f>
        <v>Exellent Sale</v>
      </c>
      <c r="R311" s="1" t="str">
        <f t="shared" si="9"/>
        <v>Priority Order</v>
      </c>
    </row>
    <row r="312" spans="1:18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4">
        <v>7776.74</v>
      </c>
      <c r="P312" s="1" t="str">
        <f t="shared" si="8"/>
        <v>Normal Discount</v>
      </c>
      <c r="Q312" s="1" t="str" cm="1">
        <f t="array" ref="Q312">_xlfn.IFS(O312&gt;7000,"Exellent Sale",O312&gt;4000,"Good Sale",O312&lt;4000,"Average Sale")</f>
        <v>Exellent Sale</v>
      </c>
      <c r="R312" s="1" t="str">
        <f t="shared" si="9"/>
        <v>Normal Order</v>
      </c>
    </row>
    <row r="313" spans="1:18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4">
        <v>2588.64</v>
      </c>
      <c r="P313" s="1" t="str">
        <f t="shared" si="8"/>
        <v>Normal Discount</v>
      </c>
      <c r="Q313" s="1" t="str" cm="1">
        <f t="array" ref="Q313">_xlfn.IFS(O313&gt;7000,"Exellent Sale",O313&gt;4000,"Good Sale",O313&lt;4000,"Average Sale")</f>
        <v>Average Sale</v>
      </c>
      <c r="R313" s="1" t="str">
        <f t="shared" si="9"/>
        <v>Normal Order</v>
      </c>
    </row>
    <row r="314" spans="1:18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4">
        <v>2763.58</v>
      </c>
      <c r="P314" s="1" t="str">
        <f t="shared" si="8"/>
        <v>Havy Discount</v>
      </c>
      <c r="Q314" s="1" t="str" cm="1">
        <f t="array" ref="Q314">_xlfn.IFS(O314&gt;7000,"Exellent Sale",O314&gt;4000,"Good Sale",O314&lt;4000,"Average Sale")</f>
        <v>Average Sale</v>
      </c>
      <c r="R314" s="1" t="str">
        <f t="shared" si="9"/>
        <v>Normal Order</v>
      </c>
    </row>
    <row r="315" spans="1:18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4">
        <v>1597.76</v>
      </c>
      <c r="P315" s="1" t="str">
        <f t="shared" si="8"/>
        <v>Normal Discount</v>
      </c>
      <c r="Q315" s="1" t="str" cm="1">
        <f t="array" ref="Q315">_xlfn.IFS(O315&gt;7000,"Exellent Sale",O315&gt;4000,"Good Sale",O315&lt;4000,"Average Sale")</f>
        <v>Average Sale</v>
      </c>
      <c r="R315" s="1" t="str">
        <f t="shared" si="9"/>
        <v>Normal Order</v>
      </c>
    </row>
    <row r="316" spans="1:18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4">
        <v>22120.54</v>
      </c>
      <c r="P316" s="1" t="str">
        <f t="shared" si="8"/>
        <v>Havy Discount</v>
      </c>
      <c r="Q316" s="1" t="str" cm="1">
        <f t="array" ref="Q316">_xlfn.IFS(O316&gt;7000,"Exellent Sale",O316&gt;4000,"Good Sale",O316&lt;4000,"Average Sale")</f>
        <v>Exellent Sale</v>
      </c>
      <c r="R316" s="1" t="str">
        <f t="shared" si="9"/>
        <v>Priority Order</v>
      </c>
    </row>
    <row r="317" spans="1:18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4">
        <v>16518.97</v>
      </c>
      <c r="P317" s="1" t="str">
        <f t="shared" si="8"/>
        <v>Havy Discount</v>
      </c>
      <c r="Q317" s="1" t="str" cm="1">
        <f t="array" ref="Q317">_xlfn.IFS(O317&gt;7000,"Exellent Sale",O317&gt;4000,"Good Sale",O317&lt;4000,"Average Sale")</f>
        <v>Exellent Sale</v>
      </c>
      <c r="R317" s="1" t="str">
        <f t="shared" si="9"/>
        <v>Priority Order</v>
      </c>
    </row>
    <row r="318" spans="1:18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4">
        <v>1261.95</v>
      </c>
      <c r="P318" s="1" t="str">
        <f t="shared" si="8"/>
        <v>Havy Discount</v>
      </c>
      <c r="Q318" s="1" t="str" cm="1">
        <f t="array" ref="Q318">_xlfn.IFS(O318&gt;7000,"Exellent Sale",O318&gt;4000,"Good Sale",O318&lt;4000,"Average Sale")</f>
        <v>Average Sale</v>
      </c>
      <c r="R318" s="1" t="str">
        <f t="shared" si="9"/>
        <v>Normal Order</v>
      </c>
    </row>
    <row r="319" spans="1:18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4">
        <v>1715.21</v>
      </c>
      <c r="P319" s="1" t="str">
        <f t="shared" si="8"/>
        <v>Normal Discount</v>
      </c>
      <c r="Q319" s="1" t="str" cm="1">
        <f t="array" ref="Q319">_xlfn.IFS(O319&gt;7000,"Exellent Sale",O319&gt;4000,"Good Sale",O319&lt;4000,"Average Sale")</f>
        <v>Average Sale</v>
      </c>
      <c r="R319" s="1" t="str">
        <f t="shared" si="9"/>
        <v>Normal Order</v>
      </c>
    </row>
    <row r="320" spans="1:18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4">
        <v>10516.88</v>
      </c>
      <c r="P320" s="1" t="str">
        <f t="shared" si="8"/>
        <v>Havy Discount</v>
      </c>
      <c r="Q320" s="1" t="str" cm="1">
        <f t="array" ref="Q320">_xlfn.IFS(O320&gt;7000,"Exellent Sale",O320&gt;4000,"Good Sale",O320&lt;4000,"Average Sale")</f>
        <v>Exellent Sale</v>
      </c>
      <c r="R320" s="1" t="str">
        <f t="shared" si="9"/>
        <v>Priority Order</v>
      </c>
    </row>
    <row r="321" spans="1:18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4">
        <v>18038.240000000002</v>
      </c>
      <c r="P321" s="1" t="str">
        <f t="shared" si="8"/>
        <v>Normal Discount</v>
      </c>
      <c r="Q321" s="1" t="str" cm="1">
        <f t="array" ref="Q321">_xlfn.IFS(O321&gt;7000,"Exellent Sale",O321&gt;4000,"Good Sale",O321&lt;4000,"Average Sale")</f>
        <v>Exellent Sale</v>
      </c>
      <c r="R321" s="1" t="str">
        <f t="shared" si="9"/>
        <v>Priority Order</v>
      </c>
    </row>
    <row r="322" spans="1:18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4">
        <v>18946.54</v>
      </c>
      <c r="P322" s="1" t="str">
        <f t="shared" si="8"/>
        <v>Havy Discount</v>
      </c>
      <c r="Q322" s="1" t="str" cm="1">
        <f t="array" ref="Q322">_xlfn.IFS(O322&gt;7000,"Exellent Sale",O322&gt;4000,"Good Sale",O322&lt;4000,"Average Sale")</f>
        <v>Exellent Sale</v>
      </c>
      <c r="R322" s="1" t="str">
        <f t="shared" si="9"/>
        <v>Priority Order</v>
      </c>
    </row>
    <row r="323" spans="1:18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4">
        <v>3204.1</v>
      </c>
      <c r="P323" s="1" t="str">
        <f t="shared" ref="P323:P386" si="10">IF(N323&gt;10,"Havy Discount","Normal Discount")</f>
        <v>Normal Discount</v>
      </c>
      <c r="Q323" s="1" t="str" cm="1">
        <f t="array" ref="Q323">_xlfn.IFS(O323&gt;7000,"Exellent Sale",O323&gt;4000,"Good Sale",O323&lt;4000,"Average Sale")</f>
        <v>Average Sale</v>
      </c>
      <c r="R323" s="1" t="str">
        <f t="shared" ref="R323:R386" si="11">IF(AND(O323&gt;7000,L323&gt;5),"Priority Order","Normal Order")</f>
        <v>Normal Order</v>
      </c>
    </row>
    <row r="324" spans="1:18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4">
        <v>3069.25</v>
      </c>
      <c r="P324" s="1" t="str">
        <f t="shared" si="10"/>
        <v>Normal Discount</v>
      </c>
      <c r="Q324" s="1" t="str" cm="1">
        <f t="array" ref="Q324">_xlfn.IFS(O324&gt;7000,"Exellent Sale",O324&gt;4000,"Good Sale",O324&lt;4000,"Average Sale")</f>
        <v>Average Sale</v>
      </c>
      <c r="R324" s="1" t="str">
        <f t="shared" si="11"/>
        <v>Normal Order</v>
      </c>
    </row>
    <row r="325" spans="1:18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4">
        <v>26565.24</v>
      </c>
      <c r="P325" s="1" t="str">
        <f t="shared" si="10"/>
        <v>Havy Discount</v>
      </c>
      <c r="Q325" s="1" t="str" cm="1">
        <f t="array" ref="Q325">_xlfn.IFS(O325&gt;7000,"Exellent Sale",O325&gt;4000,"Good Sale",O325&lt;4000,"Average Sale")</f>
        <v>Exellent Sale</v>
      </c>
      <c r="R325" s="1" t="str">
        <f t="shared" si="11"/>
        <v>Priority Order</v>
      </c>
    </row>
    <row r="326" spans="1:18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4">
        <v>5111.05</v>
      </c>
      <c r="P326" s="1" t="str">
        <f t="shared" si="10"/>
        <v>Normal Discount</v>
      </c>
      <c r="Q326" s="1" t="str" cm="1">
        <f t="array" ref="Q326">_xlfn.IFS(O326&gt;7000,"Exellent Sale",O326&gt;4000,"Good Sale",O326&lt;4000,"Average Sale")</f>
        <v>Good Sale</v>
      </c>
      <c r="R326" s="1" t="str">
        <f t="shared" si="11"/>
        <v>Normal Order</v>
      </c>
    </row>
    <row r="327" spans="1:18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4">
        <v>6171.55</v>
      </c>
      <c r="P327" s="1" t="str">
        <f t="shared" si="10"/>
        <v>Normal Discount</v>
      </c>
      <c r="Q327" s="1" t="str" cm="1">
        <f t="array" ref="Q327">_xlfn.IFS(O327&gt;7000,"Exellent Sale",O327&gt;4000,"Good Sale",O327&lt;4000,"Average Sale")</f>
        <v>Good Sale</v>
      </c>
      <c r="R327" s="1" t="str">
        <f t="shared" si="11"/>
        <v>Normal Order</v>
      </c>
    </row>
    <row r="328" spans="1:18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4">
        <v>23802.6</v>
      </c>
      <c r="P328" s="1" t="str">
        <f t="shared" si="10"/>
        <v>Normal Discount</v>
      </c>
      <c r="Q328" s="1" t="str" cm="1">
        <f t="array" ref="Q328">_xlfn.IFS(O328&gt;7000,"Exellent Sale",O328&gt;4000,"Good Sale",O328&lt;4000,"Average Sale")</f>
        <v>Exellent Sale</v>
      </c>
      <c r="R328" s="1" t="str">
        <f t="shared" si="11"/>
        <v>Priority Order</v>
      </c>
    </row>
    <row r="329" spans="1:18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4">
        <v>5012.16</v>
      </c>
      <c r="P329" s="1" t="str">
        <f t="shared" si="10"/>
        <v>Havy Discount</v>
      </c>
      <c r="Q329" s="1" t="str" cm="1">
        <f t="array" ref="Q329">_xlfn.IFS(O329&gt;7000,"Exellent Sale",O329&gt;4000,"Good Sale",O329&lt;4000,"Average Sale")</f>
        <v>Good Sale</v>
      </c>
      <c r="R329" s="1" t="str">
        <f t="shared" si="11"/>
        <v>Normal Order</v>
      </c>
    </row>
    <row r="330" spans="1:18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4">
        <v>2537.09</v>
      </c>
      <c r="P330" s="1" t="str">
        <f t="shared" si="10"/>
        <v>Havy Discount</v>
      </c>
      <c r="Q330" s="1" t="str" cm="1">
        <f t="array" ref="Q330">_xlfn.IFS(O330&gt;7000,"Exellent Sale",O330&gt;4000,"Good Sale",O330&lt;4000,"Average Sale")</f>
        <v>Average Sale</v>
      </c>
      <c r="R330" s="1" t="str">
        <f t="shared" si="11"/>
        <v>Normal Order</v>
      </c>
    </row>
    <row r="331" spans="1:18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4">
        <v>22279.599999999999</v>
      </c>
      <c r="P331" s="1" t="str">
        <f t="shared" si="10"/>
        <v>Havy Discount</v>
      </c>
      <c r="Q331" s="1" t="str" cm="1">
        <f t="array" ref="Q331">_xlfn.IFS(O331&gt;7000,"Exellent Sale",O331&gt;4000,"Good Sale",O331&lt;4000,"Average Sale")</f>
        <v>Exellent Sale</v>
      </c>
      <c r="R331" s="1" t="str">
        <f t="shared" si="11"/>
        <v>Priority Order</v>
      </c>
    </row>
    <row r="332" spans="1:18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4">
        <v>4217.87</v>
      </c>
      <c r="P332" s="1" t="str">
        <f t="shared" si="10"/>
        <v>Havy Discount</v>
      </c>
      <c r="Q332" s="1" t="str" cm="1">
        <f t="array" ref="Q332">_xlfn.IFS(O332&gt;7000,"Exellent Sale",O332&gt;4000,"Good Sale",O332&lt;4000,"Average Sale")</f>
        <v>Good Sale</v>
      </c>
      <c r="R332" s="1" t="str">
        <f t="shared" si="11"/>
        <v>Normal Order</v>
      </c>
    </row>
    <row r="333" spans="1:18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4">
        <v>2537.1799999999998</v>
      </c>
      <c r="P333" s="1" t="str">
        <f t="shared" si="10"/>
        <v>Normal Discount</v>
      </c>
      <c r="Q333" s="1" t="str" cm="1">
        <f t="array" ref="Q333">_xlfn.IFS(O333&gt;7000,"Exellent Sale",O333&gt;4000,"Good Sale",O333&lt;4000,"Average Sale")</f>
        <v>Average Sale</v>
      </c>
      <c r="R333" s="1" t="str">
        <f t="shared" si="11"/>
        <v>Normal Order</v>
      </c>
    </row>
    <row r="334" spans="1:18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4">
        <v>16028.83</v>
      </c>
      <c r="P334" s="1" t="str">
        <f t="shared" si="10"/>
        <v>Normal Discount</v>
      </c>
      <c r="Q334" s="1" t="str" cm="1">
        <f t="array" ref="Q334">_xlfn.IFS(O334&gt;7000,"Exellent Sale",O334&gt;4000,"Good Sale",O334&lt;4000,"Average Sale")</f>
        <v>Exellent Sale</v>
      </c>
      <c r="R334" s="1" t="str">
        <f t="shared" si="11"/>
        <v>Normal Order</v>
      </c>
    </row>
    <row r="335" spans="1:18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4">
        <v>10063.08</v>
      </c>
      <c r="P335" s="1" t="str">
        <f t="shared" si="10"/>
        <v>Havy Discount</v>
      </c>
      <c r="Q335" s="1" t="str" cm="1">
        <f t="array" ref="Q335">_xlfn.IFS(O335&gt;7000,"Exellent Sale",O335&gt;4000,"Good Sale",O335&lt;4000,"Average Sale")</f>
        <v>Exellent Sale</v>
      </c>
      <c r="R335" s="1" t="str">
        <f t="shared" si="11"/>
        <v>Normal Order</v>
      </c>
    </row>
    <row r="336" spans="1:18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4">
        <v>13370.56</v>
      </c>
      <c r="P336" s="1" t="str">
        <f t="shared" si="10"/>
        <v>Havy Discount</v>
      </c>
      <c r="Q336" s="1" t="str" cm="1">
        <f t="array" ref="Q336">_xlfn.IFS(O336&gt;7000,"Exellent Sale",O336&gt;4000,"Good Sale",O336&lt;4000,"Average Sale")</f>
        <v>Exellent Sale</v>
      </c>
      <c r="R336" s="1" t="str">
        <f t="shared" si="11"/>
        <v>Priority Order</v>
      </c>
    </row>
    <row r="337" spans="1:18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4">
        <v>957.52</v>
      </c>
      <c r="P337" s="1" t="str">
        <f t="shared" si="10"/>
        <v>Havy Discount</v>
      </c>
      <c r="Q337" s="1" t="str" cm="1">
        <f t="array" ref="Q337">_xlfn.IFS(O337&gt;7000,"Exellent Sale",O337&gt;4000,"Good Sale",O337&lt;4000,"Average Sale")</f>
        <v>Average Sale</v>
      </c>
      <c r="R337" s="1" t="str">
        <f t="shared" si="11"/>
        <v>Normal Order</v>
      </c>
    </row>
    <row r="338" spans="1:18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4">
        <v>23270.36</v>
      </c>
      <c r="P338" s="1" t="str">
        <f t="shared" si="10"/>
        <v>Normal Discount</v>
      </c>
      <c r="Q338" s="1" t="str" cm="1">
        <f t="array" ref="Q338">_xlfn.IFS(O338&gt;7000,"Exellent Sale",O338&gt;4000,"Good Sale",O338&lt;4000,"Average Sale")</f>
        <v>Exellent Sale</v>
      </c>
      <c r="R338" s="1" t="str">
        <f t="shared" si="11"/>
        <v>Priority Order</v>
      </c>
    </row>
    <row r="339" spans="1:18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4">
        <v>1114.6099999999999</v>
      </c>
      <c r="P339" s="1" t="str">
        <f t="shared" si="10"/>
        <v>Havy Discount</v>
      </c>
      <c r="Q339" s="1" t="str" cm="1">
        <f t="array" ref="Q339">_xlfn.IFS(O339&gt;7000,"Exellent Sale",O339&gt;4000,"Good Sale",O339&lt;4000,"Average Sale")</f>
        <v>Average Sale</v>
      </c>
      <c r="R339" s="1" t="str">
        <f t="shared" si="11"/>
        <v>Normal Order</v>
      </c>
    </row>
    <row r="340" spans="1:18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4">
        <v>14092.34</v>
      </c>
      <c r="P340" s="1" t="str">
        <f t="shared" si="10"/>
        <v>Normal Discount</v>
      </c>
      <c r="Q340" s="1" t="str" cm="1">
        <f t="array" ref="Q340">_xlfn.IFS(O340&gt;7000,"Exellent Sale",O340&gt;4000,"Good Sale",O340&lt;4000,"Average Sale")</f>
        <v>Exellent Sale</v>
      </c>
      <c r="R340" s="1" t="str">
        <f t="shared" si="11"/>
        <v>Normal Order</v>
      </c>
    </row>
    <row r="341" spans="1:18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4">
        <v>10111.82</v>
      </c>
      <c r="P341" s="1" t="str">
        <f t="shared" si="10"/>
        <v>Havy Discount</v>
      </c>
      <c r="Q341" s="1" t="str" cm="1">
        <f t="array" ref="Q341">_xlfn.IFS(O341&gt;7000,"Exellent Sale",O341&gt;4000,"Good Sale",O341&lt;4000,"Average Sale")</f>
        <v>Exellent Sale</v>
      </c>
      <c r="R341" s="1" t="str">
        <f t="shared" si="11"/>
        <v>Priority Order</v>
      </c>
    </row>
    <row r="342" spans="1:18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4">
        <v>2567.7199999999998</v>
      </c>
      <c r="P342" s="1" t="str">
        <f t="shared" si="10"/>
        <v>Normal Discount</v>
      </c>
      <c r="Q342" s="1" t="str" cm="1">
        <f t="array" ref="Q342">_xlfn.IFS(O342&gt;7000,"Exellent Sale",O342&gt;4000,"Good Sale",O342&lt;4000,"Average Sale")</f>
        <v>Average Sale</v>
      </c>
      <c r="R342" s="1" t="str">
        <f t="shared" si="11"/>
        <v>Normal Order</v>
      </c>
    </row>
    <row r="343" spans="1:18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4">
        <v>8338.99</v>
      </c>
      <c r="P343" s="1" t="str">
        <f t="shared" si="10"/>
        <v>Normal Discount</v>
      </c>
      <c r="Q343" s="1" t="str" cm="1">
        <f t="array" ref="Q343">_xlfn.IFS(O343&gt;7000,"Exellent Sale",O343&gt;4000,"Good Sale",O343&lt;4000,"Average Sale")</f>
        <v>Exellent Sale</v>
      </c>
      <c r="R343" s="1" t="str">
        <f t="shared" si="11"/>
        <v>Normal Order</v>
      </c>
    </row>
    <row r="344" spans="1:18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4">
        <v>2194.5700000000002</v>
      </c>
      <c r="P344" s="1" t="str">
        <f t="shared" si="10"/>
        <v>Normal Discount</v>
      </c>
      <c r="Q344" s="1" t="str" cm="1">
        <f t="array" ref="Q344">_xlfn.IFS(O344&gt;7000,"Exellent Sale",O344&gt;4000,"Good Sale",O344&lt;4000,"Average Sale")</f>
        <v>Average Sale</v>
      </c>
      <c r="R344" s="1" t="str">
        <f t="shared" si="11"/>
        <v>Normal Order</v>
      </c>
    </row>
    <row r="345" spans="1:18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4">
        <v>8914.59</v>
      </c>
      <c r="P345" s="1" t="str">
        <f t="shared" si="10"/>
        <v>Havy Discount</v>
      </c>
      <c r="Q345" s="1" t="str" cm="1">
        <f t="array" ref="Q345">_xlfn.IFS(O345&gt;7000,"Exellent Sale",O345&gt;4000,"Good Sale",O345&lt;4000,"Average Sale")</f>
        <v>Exellent Sale</v>
      </c>
      <c r="R345" s="1" t="str">
        <f t="shared" si="11"/>
        <v>Normal Order</v>
      </c>
    </row>
    <row r="346" spans="1:18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4">
        <v>3262.88</v>
      </c>
      <c r="P346" s="1" t="str">
        <f t="shared" si="10"/>
        <v>Normal Discount</v>
      </c>
      <c r="Q346" s="1" t="str" cm="1">
        <f t="array" ref="Q346">_xlfn.IFS(O346&gt;7000,"Exellent Sale",O346&gt;4000,"Good Sale",O346&lt;4000,"Average Sale")</f>
        <v>Average Sale</v>
      </c>
      <c r="R346" s="1" t="str">
        <f t="shared" si="11"/>
        <v>Normal Order</v>
      </c>
    </row>
    <row r="347" spans="1:18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4">
        <v>27325.03</v>
      </c>
      <c r="P347" s="1" t="str">
        <f t="shared" si="10"/>
        <v>Normal Discount</v>
      </c>
      <c r="Q347" s="1" t="str" cm="1">
        <f t="array" ref="Q347">_xlfn.IFS(O347&gt;7000,"Exellent Sale",O347&gt;4000,"Good Sale",O347&lt;4000,"Average Sale")</f>
        <v>Exellent Sale</v>
      </c>
      <c r="R347" s="1" t="str">
        <f t="shared" si="11"/>
        <v>Priority Order</v>
      </c>
    </row>
    <row r="348" spans="1:18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4">
        <v>2049.1799999999998</v>
      </c>
      <c r="P348" s="1" t="str">
        <f t="shared" si="10"/>
        <v>Havy Discount</v>
      </c>
      <c r="Q348" s="1" t="str" cm="1">
        <f t="array" ref="Q348">_xlfn.IFS(O348&gt;7000,"Exellent Sale",O348&gt;4000,"Good Sale",O348&lt;4000,"Average Sale")</f>
        <v>Average Sale</v>
      </c>
      <c r="R348" s="1" t="str">
        <f t="shared" si="11"/>
        <v>Normal Order</v>
      </c>
    </row>
    <row r="349" spans="1:18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4">
        <v>4580.21</v>
      </c>
      <c r="P349" s="1" t="str">
        <f t="shared" si="10"/>
        <v>Havy Discount</v>
      </c>
      <c r="Q349" s="1" t="str" cm="1">
        <f t="array" ref="Q349">_xlfn.IFS(O349&gt;7000,"Exellent Sale",O349&gt;4000,"Good Sale",O349&lt;4000,"Average Sale")</f>
        <v>Good Sale</v>
      </c>
      <c r="R349" s="1" t="str">
        <f t="shared" si="11"/>
        <v>Normal Order</v>
      </c>
    </row>
    <row r="350" spans="1:18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4">
        <v>18705.8</v>
      </c>
      <c r="P350" s="1" t="str">
        <f t="shared" si="10"/>
        <v>Normal Discount</v>
      </c>
      <c r="Q350" s="1" t="str" cm="1">
        <f t="array" ref="Q350">_xlfn.IFS(O350&gt;7000,"Exellent Sale",O350&gt;4000,"Good Sale",O350&lt;4000,"Average Sale")</f>
        <v>Exellent Sale</v>
      </c>
      <c r="R350" s="1" t="str">
        <f t="shared" si="11"/>
        <v>Priority Order</v>
      </c>
    </row>
    <row r="351" spans="1:18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4">
        <v>2966.7</v>
      </c>
      <c r="P351" s="1" t="str">
        <f t="shared" si="10"/>
        <v>Havy Discount</v>
      </c>
      <c r="Q351" s="1" t="str" cm="1">
        <f t="array" ref="Q351">_xlfn.IFS(O351&gt;7000,"Exellent Sale",O351&gt;4000,"Good Sale",O351&lt;4000,"Average Sale")</f>
        <v>Average Sale</v>
      </c>
      <c r="R351" s="1" t="str">
        <f t="shared" si="11"/>
        <v>Normal Order</v>
      </c>
    </row>
    <row r="352" spans="1:18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4">
        <v>4905.13</v>
      </c>
      <c r="P352" s="1" t="str">
        <f t="shared" si="10"/>
        <v>Havy Discount</v>
      </c>
      <c r="Q352" s="1" t="str" cm="1">
        <f t="array" ref="Q352">_xlfn.IFS(O352&gt;7000,"Exellent Sale",O352&gt;4000,"Good Sale",O352&lt;4000,"Average Sale")</f>
        <v>Good Sale</v>
      </c>
      <c r="R352" s="1" t="str">
        <f t="shared" si="11"/>
        <v>Normal Order</v>
      </c>
    </row>
    <row r="353" spans="1:18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4">
        <v>3313.66</v>
      </c>
      <c r="P353" s="1" t="str">
        <f t="shared" si="10"/>
        <v>Havy Discount</v>
      </c>
      <c r="Q353" s="1" t="str" cm="1">
        <f t="array" ref="Q353">_xlfn.IFS(O353&gt;7000,"Exellent Sale",O353&gt;4000,"Good Sale",O353&lt;4000,"Average Sale")</f>
        <v>Average Sale</v>
      </c>
      <c r="R353" s="1" t="str">
        <f t="shared" si="11"/>
        <v>Normal Order</v>
      </c>
    </row>
    <row r="354" spans="1:18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4">
        <v>10521.12</v>
      </c>
      <c r="P354" s="1" t="str">
        <f t="shared" si="10"/>
        <v>Havy Discount</v>
      </c>
      <c r="Q354" s="1" t="str" cm="1">
        <f t="array" ref="Q354">_xlfn.IFS(O354&gt;7000,"Exellent Sale",O354&gt;4000,"Good Sale",O354&lt;4000,"Average Sale")</f>
        <v>Exellent Sale</v>
      </c>
      <c r="R354" s="1" t="str">
        <f t="shared" si="11"/>
        <v>Priority Order</v>
      </c>
    </row>
    <row r="355" spans="1:18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4">
        <v>2874.34</v>
      </c>
      <c r="P355" s="1" t="str">
        <f t="shared" si="10"/>
        <v>Havy Discount</v>
      </c>
      <c r="Q355" s="1" t="str" cm="1">
        <f t="array" ref="Q355">_xlfn.IFS(O355&gt;7000,"Exellent Sale",O355&gt;4000,"Good Sale",O355&lt;4000,"Average Sale")</f>
        <v>Average Sale</v>
      </c>
      <c r="R355" s="1" t="str">
        <f t="shared" si="11"/>
        <v>Normal Order</v>
      </c>
    </row>
    <row r="356" spans="1:18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4">
        <v>22511.119999999999</v>
      </c>
      <c r="P356" s="1" t="str">
        <f t="shared" si="10"/>
        <v>Normal Discount</v>
      </c>
      <c r="Q356" s="1" t="str" cm="1">
        <f t="array" ref="Q356">_xlfn.IFS(O356&gt;7000,"Exellent Sale",O356&gt;4000,"Good Sale",O356&lt;4000,"Average Sale")</f>
        <v>Exellent Sale</v>
      </c>
      <c r="R356" s="1" t="str">
        <f t="shared" si="11"/>
        <v>Priority Order</v>
      </c>
    </row>
    <row r="357" spans="1:18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4">
        <v>9637.24</v>
      </c>
      <c r="P357" s="1" t="str">
        <f t="shared" si="10"/>
        <v>Havy Discount</v>
      </c>
      <c r="Q357" s="1" t="str" cm="1">
        <f t="array" ref="Q357">_xlfn.IFS(O357&gt;7000,"Exellent Sale",O357&gt;4000,"Good Sale",O357&lt;4000,"Average Sale")</f>
        <v>Exellent Sale</v>
      </c>
      <c r="R357" s="1" t="str">
        <f t="shared" si="11"/>
        <v>Priority Order</v>
      </c>
    </row>
    <row r="358" spans="1:18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4">
        <v>10402.48</v>
      </c>
      <c r="P358" s="1" t="str">
        <f t="shared" si="10"/>
        <v>Normal Discount</v>
      </c>
      <c r="Q358" s="1" t="str" cm="1">
        <f t="array" ref="Q358">_xlfn.IFS(O358&gt;7000,"Exellent Sale",O358&gt;4000,"Good Sale",O358&lt;4000,"Average Sale")</f>
        <v>Exellent Sale</v>
      </c>
      <c r="R358" s="1" t="str">
        <f t="shared" si="11"/>
        <v>Priority Order</v>
      </c>
    </row>
    <row r="359" spans="1:18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4">
        <v>24351.62</v>
      </c>
      <c r="P359" s="1" t="str">
        <f t="shared" si="10"/>
        <v>Havy Discount</v>
      </c>
      <c r="Q359" s="1" t="str" cm="1">
        <f t="array" ref="Q359">_xlfn.IFS(O359&gt;7000,"Exellent Sale",O359&gt;4000,"Good Sale",O359&lt;4000,"Average Sale")</f>
        <v>Exellent Sale</v>
      </c>
      <c r="R359" s="1" t="str">
        <f t="shared" si="11"/>
        <v>Priority Order</v>
      </c>
    </row>
    <row r="360" spans="1:18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4">
        <v>192.37</v>
      </c>
      <c r="P360" s="1" t="str">
        <f t="shared" si="10"/>
        <v>Normal Discount</v>
      </c>
      <c r="Q360" s="1" t="str" cm="1">
        <f t="array" ref="Q360">_xlfn.IFS(O360&gt;7000,"Exellent Sale",O360&gt;4000,"Good Sale",O360&lt;4000,"Average Sale")</f>
        <v>Average Sale</v>
      </c>
      <c r="R360" s="1" t="str">
        <f t="shared" si="11"/>
        <v>Normal Order</v>
      </c>
    </row>
    <row r="361" spans="1:18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4">
        <v>9469</v>
      </c>
      <c r="P361" s="1" t="str">
        <f t="shared" si="10"/>
        <v>Havy Discount</v>
      </c>
      <c r="Q361" s="1" t="str" cm="1">
        <f t="array" ref="Q361">_xlfn.IFS(O361&gt;7000,"Exellent Sale",O361&gt;4000,"Good Sale",O361&lt;4000,"Average Sale")</f>
        <v>Exellent Sale</v>
      </c>
      <c r="R361" s="1" t="str">
        <f t="shared" si="11"/>
        <v>Priority Order</v>
      </c>
    </row>
    <row r="362" spans="1:18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4">
        <v>5482.25</v>
      </c>
      <c r="P362" s="1" t="str">
        <f t="shared" si="10"/>
        <v>Havy Discount</v>
      </c>
      <c r="Q362" s="1" t="str" cm="1">
        <f t="array" ref="Q362">_xlfn.IFS(O362&gt;7000,"Exellent Sale",O362&gt;4000,"Good Sale",O362&lt;4000,"Average Sale")</f>
        <v>Good Sale</v>
      </c>
      <c r="R362" s="1" t="str">
        <f t="shared" si="11"/>
        <v>Normal Order</v>
      </c>
    </row>
    <row r="363" spans="1:18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4">
        <v>4035.58</v>
      </c>
      <c r="P363" s="1" t="str">
        <f t="shared" si="10"/>
        <v>Havy Discount</v>
      </c>
      <c r="Q363" s="1" t="str" cm="1">
        <f t="array" ref="Q363">_xlfn.IFS(O363&gt;7000,"Exellent Sale",O363&gt;4000,"Good Sale",O363&lt;4000,"Average Sale")</f>
        <v>Good Sale</v>
      </c>
      <c r="R363" s="1" t="str">
        <f t="shared" si="11"/>
        <v>Normal Order</v>
      </c>
    </row>
    <row r="364" spans="1:18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4">
        <v>479.35</v>
      </c>
      <c r="P364" s="1" t="str">
        <f t="shared" si="10"/>
        <v>Normal Discount</v>
      </c>
      <c r="Q364" s="1" t="str" cm="1">
        <f t="array" ref="Q364">_xlfn.IFS(O364&gt;7000,"Exellent Sale",O364&gt;4000,"Good Sale",O364&lt;4000,"Average Sale")</f>
        <v>Average Sale</v>
      </c>
      <c r="R364" s="1" t="str">
        <f t="shared" si="11"/>
        <v>Normal Order</v>
      </c>
    </row>
    <row r="365" spans="1:18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4">
        <v>2959.93</v>
      </c>
      <c r="P365" s="1" t="str">
        <f t="shared" si="10"/>
        <v>Normal Discount</v>
      </c>
      <c r="Q365" s="1" t="str" cm="1">
        <f t="array" ref="Q365">_xlfn.IFS(O365&gt;7000,"Exellent Sale",O365&gt;4000,"Good Sale",O365&lt;4000,"Average Sale")</f>
        <v>Average Sale</v>
      </c>
      <c r="R365" s="1" t="str">
        <f t="shared" si="11"/>
        <v>Normal Order</v>
      </c>
    </row>
    <row r="366" spans="1:18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4">
        <v>14373.84</v>
      </c>
      <c r="P366" s="1" t="str">
        <f t="shared" si="10"/>
        <v>Havy Discount</v>
      </c>
      <c r="Q366" s="1" t="str" cm="1">
        <f t="array" ref="Q366">_xlfn.IFS(O366&gt;7000,"Exellent Sale",O366&gt;4000,"Good Sale",O366&lt;4000,"Average Sale")</f>
        <v>Exellent Sale</v>
      </c>
      <c r="R366" s="1" t="str">
        <f t="shared" si="11"/>
        <v>Normal Order</v>
      </c>
    </row>
    <row r="367" spans="1:18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4">
        <v>16604.400000000001</v>
      </c>
      <c r="P367" s="1" t="str">
        <f t="shared" si="10"/>
        <v>Normal Discount</v>
      </c>
      <c r="Q367" s="1" t="str" cm="1">
        <f t="array" ref="Q367">_xlfn.IFS(O367&gt;7000,"Exellent Sale",O367&gt;4000,"Good Sale",O367&lt;4000,"Average Sale")</f>
        <v>Exellent Sale</v>
      </c>
      <c r="R367" s="1" t="str">
        <f t="shared" si="11"/>
        <v>Normal Order</v>
      </c>
    </row>
    <row r="368" spans="1:18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4">
        <v>27438.51</v>
      </c>
      <c r="P368" s="1" t="str">
        <f t="shared" si="10"/>
        <v>Normal Discount</v>
      </c>
      <c r="Q368" s="1" t="str" cm="1">
        <f t="array" ref="Q368">_xlfn.IFS(O368&gt;7000,"Exellent Sale",O368&gt;4000,"Good Sale",O368&lt;4000,"Average Sale")</f>
        <v>Exellent Sale</v>
      </c>
      <c r="R368" s="1" t="str">
        <f t="shared" si="11"/>
        <v>Priority Order</v>
      </c>
    </row>
    <row r="369" spans="1:18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4">
        <v>13562.91</v>
      </c>
      <c r="P369" s="1" t="str">
        <f t="shared" si="10"/>
        <v>Havy Discount</v>
      </c>
      <c r="Q369" s="1" t="str" cm="1">
        <f t="array" ref="Q369">_xlfn.IFS(O369&gt;7000,"Exellent Sale",O369&gt;4000,"Good Sale",O369&lt;4000,"Average Sale")</f>
        <v>Exellent Sale</v>
      </c>
      <c r="R369" s="1" t="str">
        <f t="shared" si="11"/>
        <v>Priority Order</v>
      </c>
    </row>
    <row r="370" spans="1:18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4">
        <v>22284.89</v>
      </c>
      <c r="P370" s="1" t="str">
        <f t="shared" si="10"/>
        <v>Havy Discount</v>
      </c>
      <c r="Q370" s="1" t="str" cm="1">
        <f t="array" ref="Q370">_xlfn.IFS(O370&gt;7000,"Exellent Sale",O370&gt;4000,"Good Sale",O370&lt;4000,"Average Sale")</f>
        <v>Exellent Sale</v>
      </c>
      <c r="R370" s="1" t="str">
        <f t="shared" si="11"/>
        <v>Priority Order</v>
      </c>
    </row>
    <row r="371" spans="1:18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4">
        <v>9771.36</v>
      </c>
      <c r="P371" s="1" t="str">
        <f t="shared" si="10"/>
        <v>Normal Discount</v>
      </c>
      <c r="Q371" s="1" t="str" cm="1">
        <f t="array" ref="Q371">_xlfn.IFS(O371&gt;7000,"Exellent Sale",O371&gt;4000,"Good Sale",O371&lt;4000,"Average Sale")</f>
        <v>Exellent Sale</v>
      </c>
      <c r="R371" s="1" t="str">
        <f t="shared" si="11"/>
        <v>Priority Order</v>
      </c>
    </row>
    <row r="372" spans="1:18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4">
        <v>13032.62</v>
      </c>
      <c r="P372" s="1" t="str">
        <f t="shared" si="10"/>
        <v>Havy Discount</v>
      </c>
      <c r="Q372" s="1" t="str" cm="1">
        <f t="array" ref="Q372">_xlfn.IFS(O372&gt;7000,"Exellent Sale",O372&gt;4000,"Good Sale",O372&lt;4000,"Average Sale")</f>
        <v>Exellent Sale</v>
      </c>
      <c r="R372" s="1" t="str">
        <f t="shared" si="11"/>
        <v>Priority Order</v>
      </c>
    </row>
    <row r="373" spans="1:18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4">
        <v>7518.34</v>
      </c>
      <c r="P373" s="1" t="str">
        <f t="shared" si="10"/>
        <v>Normal Discount</v>
      </c>
      <c r="Q373" s="1" t="str" cm="1">
        <f t="array" ref="Q373">_xlfn.IFS(O373&gt;7000,"Exellent Sale",O373&gt;4000,"Good Sale",O373&lt;4000,"Average Sale")</f>
        <v>Exellent Sale</v>
      </c>
      <c r="R373" s="1" t="str">
        <f t="shared" si="11"/>
        <v>Normal Order</v>
      </c>
    </row>
    <row r="374" spans="1:18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4">
        <v>6114.3</v>
      </c>
      <c r="P374" s="1" t="str">
        <f t="shared" si="10"/>
        <v>Normal Discount</v>
      </c>
      <c r="Q374" s="1" t="str" cm="1">
        <f t="array" ref="Q374">_xlfn.IFS(O374&gt;7000,"Exellent Sale",O374&gt;4000,"Good Sale",O374&lt;4000,"Average Sale")</f>
        <v>Good Sale</v>
      </c>
      <c r="R374" s="1" t="str">
        <f t="shared" si="11"/>
        <v>Normal Order</v>
      </c>
    </row>
    <row r="375" spans="1:18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4">
        <v>6604.44</v>
      </c>
      <c r="P375" s="1" t="str">
        <f t="shared" si="10"/>
        <v>Havy Discount</v>
      </c>
      <c r="Q375" s="1" t="str" cm="1">
        <f t="array" ref="Q375">_xlfn.IFS(O375&gt;7000,"Exellent Sale",O375&gt;4000,"Good Sale",O375&lt;4000,"Average Sale")</f>
        <v>Good Sale</v>
      </c>
      <c r="R375" s="1" t="str">
        <f t="shared" si="11"/>
        <v>Normal Order</v>
      </c>
    </row>
    <row r="376" spans="1:18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4">
        <v>5694.81</v>
      </c>
      <c r="P376" s="1" t="str">
        <f t="shared" si="10"/>
        <v>Normal Discount</v>
      </c>
      <c r="Q376" s="1" t="str" cm="1">
        <f t="array" ref="Q376">_xlfn.IFS(O376&gt;7000,"Exellent Sale",O376&gt;4000,"Good Sale",O376&lt;4000,"Average Sale")</f>
        <v>Good Sale</v>
      </c>
      <c r="R376" s="1" t="str">
        <f t="shared" si="11"/>
        <v>Normal Order</v>
      </c>
    </row>
    <row r="377" spans="1:18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4">
        <v>3474.94</v>
      </c>
      <c r="P377" s="1" t="str">
        <f t="shared" si="10"/>
        <v>Havy Discount</v>
      </c>
      <c r="Q377" s="1" t="str" cm="1">
        <f t="array" ref="Q377">_xlfn.IFS(O377&gt;7000,"Exellent Sale",O377&gt;4000,"Good Sale",O377&lt;4000,"Average Sale")</f>
        <v>Average Sale</v>
      </c>
      <c r="R377" s="1" t="str">
        <f t="shared" si="11"/>
        <v>Normal Order</v>
      </c>
    </row>
    <row r="378" spans="1:18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4">
        <v>3511.2</v>
      </c>
      <c r="P378" s="1" t="str">
        <f t="shared" si="10"/>
        <v>Normal Discount</v>
      </c>
      <c r="Q378" s="1" t="str" cm="1">
        <f t="array" ref="Q378">_xlfn.IFS(O378&gt;7000,"Exellent Sale",O378&gt;4000,"Good Sale",O378&lt;4000,"Average Sale")</f>
        <v>Average Sale</v>
      </c>
      <c r="R378" s="1" t="str">
        <f t="shared" si="11"/>
        <v>Normal Order</v>
      </c>
    </row>
    <row r="379" spans="1:18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4">
        <v>27089.88</v>
      </c>
      <c r="P379" s="1" t="str">
        <f t="shared" si="10"/>
        <v>Normal Discount</v>
      </c>
      <c r="Q379" s="1" t="str" cm="1">
        <f t="array" ref="Q379">_xlfn.IFS(O379&gt;7000,"Exellent Sale",O379&gt;4000,"Good Sale",O379&lt;4000,"Average Sale")</f>
        <v>Exellent Sale</v>
      </c>
      <c r="R379" s="1" t="str">
        <f t="shared" si="11"/>
        <v>Priority Order</v>
      </c>
    </row>
    <row r="380" spans="1:18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4">
        <v>3715.13</v>
      </c>
      <c r="P380" s="1" t="str">
        <f t="shared" si="10"/>
        <v>Normal Discount</v>
      </c>
      <c r="Q380" s="1" t="str" cm="1">
        <f t="array" ref="Q380">_xlfn.IFS(O380&gt;7000,"Exellent Sale",O380&gt;4000,"Good Sale",O380&lt;4000,"Average Sale")</f>
        <v>Average Sale</v>
      </c>
      <c r="R380" s="1" t="str">
        <f t="shared" si="11"/>
        <v>Normal Order</v>
      </c>
    </row>
    <row r="381" spans="1:18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4">
        <v>4612.1099999999997</v>
      </c>
      <c r="P381" s="1" t="str">
        <f t="shared" si="10"/>
        <v>Normal Discount</v>
      </c>
      <c r="Q381" s="1" t="str" cm="1">
        <f t="array" ref="Q381">_xlfn.IFS(O381&gt;7000,"Exellent Sale",O381&gt;4000,"Good Sale",O381&lt;4000,"Average Sale")</f>
        <v>Good Sale</v>
      </c>
      <c r="R381" s="1" t="str">
        <f t="shared" si="11"/>
        <v>Normal Order</v>
      </c>
    </row>
    <row r="382" spans="1:18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4">
        <v>1389.23</v>
      </c>
      <c r="P382" s="1" t="str">
        <f t="shared" si="10"/>
        <v>Normal Discount</v>
      </c>
      <c r="Q382" s="1" t="str" cm="1">
        <f t="array" ref="Q382">_xlfn.IFS(O382&gt;7000,"Exellent Sale",O382&gt;4000,"Good Sale",O382&lt;4000,"Average Sale")</f>
        <v>Average Sale</v>
      </c>
      <c r="R382" s="1" t="str">
        <f t="shared" si="11"/>
        <v>Normal Order</v>
      </c>
    </row>
    <row r="383" spans="1:18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4">
        <v>2904.34</v>
      </c>
      <c r="P383" s="1" t="str">
        <f t="shared" si="10"/>
        <v>Normal Discount</v>
      </c>
      <c r="Q383" s="1" t="str" cm="1">
        <f t="array" ref="Q383">_xlfn.IFS(O383&gt;7000,"Exellent Sale",O383&gt;4000,"Good Sale",O383&lt;4000,"Average Sale")</f>
        <v>Average Sale</v>
      </c>
      <c r="R383" s="1" t="str">
        <f t="shared" si="11"/>
        <v>Normal Order</v>
      </c>
    </row>
    <row r="384" spans="1:18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4">
        <v>3044.34</v>
      </c>
      <c r="P384" s="1" t="str">
        <f t="shared" si="10"/>
        <v>Havy Discount</v>
      </c>
      <c r="Q384" s="1" t="str" cm="1">
        <f t="array" ref="Q384">_xlfn.IFS(O384&gt;7000,"Exellent Sale",O384&gt;4000,"Good Sale",O384&lt;4000,"Average Sale")</f>
        <v>Average Sale</v>
      </c>
      <c r="R384" s="1" t="str">
        <f t="shared" si="11"/>
        <v>Normal Order</v>
      </c>
    </row>
    <row r="385" spans="1:18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4">
        <v>7742.72</v>
      </c>
      <c r="P385" s="1" t="str">
        <f t="shared" si="10"/>
        <v>Havy Discount</v>
      </c>
      <c r="Q385" s="1" t="str" cm="1">
        <f t="array" ref="Q385">_xlfn.IFS(O385&gt;7000,"Exellent Sale",O385&gt;4000,"Good Sale",O385&lt;4000,"Average Sale")</f>
        <v>Exellent Sale</v>
      </c>
      <c r="R385" s="1" t="str">
        <f t="shared" si="11"/>
        <v>Normal Order</v>
      </c>
    </row>
    <row r="386" spans="1:18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4">
        <v>3731.7</v>
      </c>
      <c r="P386" s="1" t="str">
        <f t="shared" si="10"/>
        <v>Normal Discount</v>
      </c>
      <c r="Q386" s="1" t="str" cm="1">
        <f t="array" ref="Q386">_xlfn.IFS(O386&gt;7000,"Exellent Sale",O386&gt;4000,"Good Sale",O386&lt;4000,"Average Sale")</f>
        <v>Average Sale</v>
      </c>
      <c r="R386" s="1" t="str">
        <f t="shared" si="11"/>
        <v>Normal Order</v>
      </c>
    </row>
    <row r="387" spans="1:18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4">
        <v>3571.88</v>
      </c>
      <c r="P387" s="1" t="str">
        <f t="shared" ref="P387:P450" si="12">IF(N387&gt;10,"Havy Discount","Normal Discount")</f>
        <v>Normal Discount</v>
      </c>
      <c r="Q387" s="1" t="str" cm="1">
        <f t="array" ref="Q387">_xlfn.IFS(O387&gt;7000,"Exellent Sale",O387&gt;4000,"Good Sale",O387&lt;4000,"Average Sale")</f>
        <v>Average Sale</v>
      </c>
      <c r="R387" s="1" t="str">
        <f t="shared" ref="R387:R450" si="13">IF(AND(O387&gt;7000,L387&gt;5),"Priority Order","Normal Order")</f>
        <v>Normal Order</v>
      </c>
    </row>
    <row r="388" spans="1:18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4">
        <v>9353.2000000000007</v>
      </c>
      <c r="P388" s="1" t="str">
        <f t="shared" si="12"/>
        <v>Havy Discount</v>
      </c>
      <c r="Q388" s="1" t="str" cm="1">
        <f t="array" ref="Q388">_xlfn.IFS(O388&gt;7000,"Exellent Sale",O388&gt;4000,"Good Sale",O388&lt;4000,"Average Sale")</f>
        <v>Exellent Sale</v>
      </c>
      <c r="R388" s="1" t="str">
        <f t="shared" si="13"/>
        <v>Priority Order</v>
      </c>
    </row>
    <row r="389" spans="1:18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4">
        <v>5488.53</v>
      </c>
      <c r="P389" s="1" t="str">
        <f t="shared" si="12"/>
        <v>Normal Discount</v>
      </c>
      <c r="Q389" s="1" t="str" cm="1">
        <f t="array" ref="Q389">_xlfn.IFS(O389&gt;7000,"Exellent Sale",O389&gt;4000,"Good Sale",O389&lt;4000,"Average Sale")</f>
        <v>Good Sale</v>
      </c>
      <c r="R389" s="1" t="str">
        <f t="shared" si="13"/>
        <v>Normal Order</v>
      </c>
    </row>
    <row r="390" spans="1:18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4">
        <v>24215.03</v>
      </c>
      <c r="P390" s="1" t="str">
        <f t="shared" si="12"/>
        <v>Normal Discount</v>
      </c>
      <c r="Q390" s="1" t="str" cm="1">
        <f t="array" ref="Q390">_xlfn.IFS(O390&gt;7000,"Exellent Sale",O390&gt;4000,"Good Sale",O390&lt;4000,"Average Sale")</f>
        <v>Exellent Sale</v>
      </c>
      <c r="R390" s="1" t="str">
        <f t="shared" si="13"/>
        <v>Priority Order</v>
      </c>
    </row>
    <row r="391" spans="1:18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4">
        <v>2065.81</v>
      </c>
      <c r="P391" s="1" t="str">
        <f t="shared" si="12"/>
        <v>Havy Discount</v>
      </c>
      <c r="Q391" s="1" t="str" cm="1">
        <f t="array" ref="Q391">_xlfn.IFS(O391&gt;7000,"Exellent Sale",O391&gt;4000,"Good Sale",O391&lt;4000,"Average Sale")</f>
        <v>Average Sale</v>
      </c>
      <c r="R391" s="1" t="str">
        <f t="shared" si="13"/>
        <v>Normal Order</v>
      </c>
    </row>
    <row r="392" spans="1:18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4">
        <v>16946.52</v>
      </c>
      <c r="P392" s="1" t="str">
        <f t="shared" si="12"/>
        <v>Normal Discount</v>
      </c>
      <c r="Q392" s="1" t="str" cm="1">
        <f t="array" ref="Q392">_xlfn.IFS(O392&gt;7000,"Exellent Sale",O392&gt;4000,"Good Sale",O392&lt;4000,"Average Sale")</f>
        <v>Exellent Sale</v>
      </c>
      <c r="R392" s="1" t="str">
        <f t="shared" si="13"/>
        <v>Priority Order</v>
      </c>
    </row>
    <row r="393" spans="1:18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4">
        <v>3962.65</v>
      </c>
      <c r="P393" s="1" t="str">
        <f t="shared" si="12"/>
        <v>Havy Discount</v>
      </c>
      <c r="Q393" s="1" t="str" cm="1">
        <f t="array" ref="Q393">_xlfn.IFS(O393&gt;7000,"Exellent Sale",O393&gt;4000,"Good Sale",O393&lt;4000,"Average Sale")</f>
        <v>Average Sale</v>
      </c>
      <c r="R393" s="1" t="str">
        <f t="shared" si="13"/>
        <v>Normal Order</v>
      </c>
    </row>
    <row r="394" spans="1:18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4">
        <v>21551.4</v>
      </c>
      <c r="P394" s="1" t="str">
        <f t="shared" si="12"/>
        <v>Normal Discount</v>
      </c>
      <c r="Q394" s="1" t="str" cm="1">
        <f t="array" ref="Q394">_xlfn.IFS(O394&gt;7000,"Exellent Sale",O394&gt;4000,"Good Sale",O394&lt;4000,"Average Sale")</f>
        <v>Exellent Sale</v>
      </c>
      <c r="R394" s="1" t="str">
        <f t="shared" si="13"/>
        <v>Priority Order</v>
      </c>
    </row>
    <row r="395" spans="1:18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4">
        <v>16298.88</v>
      </c>
      <c r="P395" s="1" t="str">
        <f t="shared" si="12"/>
        <v>Normal Discount</v>
      </c>
      <c r="Q395" s="1" t="str" cm="1">
        <f t="array" ref="Q395">_xlfn.IFS(O395&gt;7000,"Exellent Sale",O395&gt;4000,"Good Sale",O395&lt;4000,"Average Sale")</f>
        <v>Exellent Sale</v>
      </c>
      <c r="R395" s="1" t="str">
        <f t="shared" si="13"/>
        <v>Priority Order</v>
      </c>
    </row>
    <row r="396" spans="1:18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4">
        <v>1098.56</v>
      </c>
      <c r="P396" s="1" t="str">
        <f t="shared" si="12"/>
        <v>Normal Discount</v>
      </c>
      <c r="Q396" s="1" t="str" cm="1">
        <f t="array" ref="Q396">_xlfn.IFS(O396&gt;7000,"Exellent Sale",O396&gt;4000,"Good Sale",O396&lt;4000,"Average Sale")</f>
        <v>Average Sale</v>
      </c>
      <c r="R396" s="1" t="str">
        <f t="shared" si="13"/>
        <v>Normal Order</v>
      </c>
    </row>
    <row r="397" spans="1:18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4">
        <v>12008.82</v>
      </c>
      <c r="P397" s="1" t="str">
        <f t="shared" si="12"/>
        <v>Havy Discount</v>
      </c>
      <c r="Q397" s="1" t="str" cm="1">
        <f t="array" ref="Q397">_xlfn.IFS(O397&gt;7000,"Exellent Sale",O397&gt;4000,"Good Sale",O397&lt;4000,"Average Sale")</f>
        <v>Exellent Sale</v>
      </c>
      <c r="R397" s="1" t="str">
        <f t="shared" si="13"/>
        <v>Priority Order</v>
      </c>
    </row>
    <row r="398" spans="1:18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4">
        <v>7172.3</v>
      </c>
      <c r="P398" s="1" t="str">
        <f t="shared" si="12"/>
        <v>Normal Discount</v>
      </c>
      <c r="Q398" s="1" t="str" cm="1">
        <f t="array" ref="Q398">_xlfn.IFS(O398&gt;7000,"Exellent Sale",O398&gt;4000,"Good Sale",O398&lt;4000,"Average Sale")</f>
        <v>Exellent Sale</v>
      </c>
      <c r="R398" s="1" t="str">
        <f t="shared" si="13"/>
        <v>Priority Order</v>
      </c>
    </row>
    <row r="399" spans="1:18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4">
        <v>16228.85</v>
      </c>
      <c r="P399" s="1" t="str">
        <f t="shared" si="12"/>
        <v>Normal Discount</v>
      </c>
      <c r="Q399" s="1" t="str" cm="1">
        <f t="array" ref="Q399">_xlfn.IFS(O399&gt;7000,"Exellent Sale",O399&gt;4000,"Good Sale",O399&lt;4000,"Average Sale")</f>
        <v>Exellent Sale</v>
      </c>
      <c r="R399" s="1" t="str">
        <f t="shared" si="13"/>
        <v>Normal Order</v>
      </c>
    </row>
    <row r="400" spans="1:18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4">
        <v>5369.58</v>
      </c>
      <c r="P400" s="1" t="str">
        <f t="shared" si="12"/>
        <v>Normal Discount</v>
      </c>
      <c r="Q400" s="1" t="str" cm="1">
        <f t="array" ref="Q400">_xlfn.IFS(O400&gt;7000,"Exellent Sale",O400&gt;4000,"Good Sale",O400&lt;4000,"Average Sale")</f>
        <v>Good Sale</v>
      </c>
      <c r="R400" s="1" t="str">
        <f t="shared" si="13"/>
        <v>Normal Order</v>
      </c>
    </row>
    <row r="401" spans="1:18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4">
        <v>14326.31</v>
      </c>
      <c r="P401" s="1" t="str">
        <f t="shared" si="12"/>
        <v>Normal Discount</v>
      </c>
      <c r="Q401" s="1" t="str" cm="1">
        <f t="array" ref="Q401">_xlfn.IFS(O401&gt;7000,"Exellent Sale",O401&gt;4000,"Good Sale",O401&lt;4000,"Average Sale")</f>
        <v>Exellent Sale</v>
      </c>
      <c r="R401" s="1" t="str">
        <f t="shared" si="13"/>
        <v>Normal Order</v>
      </c>
    </row>
    <row r="402" spans="1:18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4">
        <v>1923.29</v>
      </c>
      <c r="P402" s="1" t="str">
        <f t="shared" si="12"/>
        <v>Normal Discount</v>
      </c>
      <c r="Q402" s="1" t="str" cm="1">
        <f t="array" ref="Q402">_xlfn.IFS(O402&gt;7000,"Exellent Sale",O402&gt;4000,"Good Sale",O402&lt;4000,"Average Sale")</f>
        <v>Average Sale</v>
      </c>
      <c r="R402" s="1" t="str">
        <f t="shared" si="13"/>
        <v>Normal Order</v>
      </c>
    </row>
    <row r="403" spans="1:18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4">
        <v>16087.13</v>
      </c>
      <c r="P403" s="1" t="str">
        <f t="shared" si="12"/>
        <v>Havy Discount</v>
      </c>
      <c r="Q403" s="1" t="str" cm="1">
        <f t="array" ref="Q403">_xlfn.IFS(O403&gt;7000,"Exellent Sale",O403&gt;4000,"Good Sale",O403&lt;4000,"Average Sale")</f>
        <v>Exellent Sale</v>
      </c>
      <c r="R403" s="1" t="str">
        <f t="shared" si="13"/>
        <v>Priority Order</v>
      </c>
    </row>
    <row r="404" spans="1:18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4">
        <v>2332.19</v>
      </c>
      <c r="P404" s="1" t="str">
        <f t="shared" si="12"/>
        <v>Havy Discount</v>
      </c>
      <c r="Q404" s="1" t="str" cm="1">
        <f t="array" ref="Q404">_xlfn.IFS(O404&gt;7000,"Exellent Sale",O404&gt;4000,"Good Sale",O404&lt;4000,"Average Sale")</f>
        <v>Average Sale</v>
      </c>
      <c r="R404" s="1" t="str">
        <f t="shared" si="13"/>
        <v>Normal Order</v>
      </c>
    </row>
    <row r="405" spans="1:18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4">
        <v>11177.53</v>
      </c>
      <c r="P405" s="1" t="str">
        <f t="shared" si="12"/>
        <v>Normal Discount</v>
      </c>
      <c r="Q405" s="1" t="str" cm="1">
        <f t="array" ref="Q405">_xlfn.IFS(O405&gt;7000,"Exellent Sale",O405&gt;4000,"Good Sale",O405&lt;4000,"Average Sale")</f>
        <v>Exellent Sale</v>
      </c>
      <c r="R405" s="1" t="str">
        <f t="shared" si="13"/>
        <v>Normal Order</v>
      </c>
    </row>
    <row r="406" spans="1:18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4">
        <v>5069.16</v>
      </c>
      <c r="P406" s="1" t="str">
        <f t="shared" si="12"/>
        <v>Normal Discount</v>
      </c>
      <c r="Q406" s="1" t="str" cm="1">
        <f t="array" ref="Q406">_xlfn.IFS(O406&gt;7000,"Exellent Sale",O406&gt;4000,"Good Sale",O406&lt;4000,"Average Sale")</f>
        <v>Good Sale</v>
      </c>
      <c r="R406" s="1" t="str">
        <f t="shared" si="13"/>
        <v>Normal Order</v>
      </c>
    </row>
    <row r="407" spans="1:18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4">
        <v>2044.41</v>
      </c>
      <c r="P407" s="1" t="str">
        <f t="shared" si="12"/>
        <v>Normal Discount</v>
      </c>
      <c r="Q407" s="1" t="str" cm="1">
        <f t="array" ref="Q407">_xlfn.IFS(O407&gt;7000,"Exellent Sale",O407&gt;4000,"Good Sale",O407&lt;4000,"Average Sale")</f>
        <v>Average Sale</v>
      </c>
      <c r="R407" s="1" t="str">
        <f t="shared" si="13"/>
        <v>Normal Order</v>
      </c>
    </row>
    <row r="408" spans="1:18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4">
        <v>23159.23</v>
      </c>
      <c r="P408" s="1" t="str">
        <f t="shared" si="12"/>
        <v>Havy Discount</v>
      </c>
      <c r="Q408" s="1" t="str" cm="1">
        <f t="array" ref="Q408">_xlfn.IFS(O408&gt;7000,"Exellent Sale",O408&gt;4000,"Good Sale",O408&lt;4000,"Average Sale")</f>
        <v>Exellent Sale</v>
      </c>
      <c r="R408" s="1" t="str">
        <f t="shared" si="13"/>
        <v>Priority Order</v>
      </c>
    </row>
    <row r="409" spans="1:18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4">
        <v>3344.9</v>
      </c>
      <c r="P409" s="1" t="str">
        <f t="shared" si="12"/>
        <v>Havy Discount</v>
      </c>
      <c r="Q409" s="1" t="str" cm="1">
        <f t="array" ref="Q409">_xlfn.IFS(O409&gt;7000,"Exellent Sale",O409&gt;4000,"Good Sale",O409&lt;4000,"Average Sale")</f>
        <v>Average Sale</v>
      </c>
      <c r="R409" s="1" t="str">
        <f t="shared" si="13"/>
        <v>Normal Order</v>
      </c>
    </row>
    <row r="410" spans="1:18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4">
        <v>6427.45</v>
      </c>
      <c r="P410" s="1" t="str">
        <f t="shared" si="12"/>
        <v>Normal Discount</v>
      </c>
      <c r="Q410" s="1" t="str" cm="1">
        <f t="array" ref="Q410">_xlfn.IFS(O410&gt;7000,"Exellent Sale",O410&gt;4000,"Good Sale",O410&lt;4000,"Average Sale")</f>
        <v>Good Sale</v>
      </c>
      <c r="R410" s="1" t="str">
        <f t="shared" si="13"/>
        <v>Normal Order</v>
      </c>
    </row>
    <row r="411" spans="1:18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4">
        <v>6473.92</v>
      </c>
      <c r="P411" s="1" t="str">
        <f t="shared" si="12"/>
        <v>Normal Discount</v>
      </c>
      <c r="Q411" s="1" t="str" cm="1">
        <f t="array" ref="Q411">_xlfn.IFS(O411&gt;7000,"Exellent Sale",O411&gt;4000,"Good Sale",O411&lt;4000,"Average Sale")</f>
        <v>Good Sale</v>
      </c>
      <c r="R411" s="1" t="str">
        <f t="shared" si="13"/>
        <v>Normal Order</v>
      </c>
    </row>
    <row r="412" spans="1:18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4">
        <v>6172.3</v>
      </c>
      <c r="P412" s="1" t="str">
        <f t="shared" si="12"/>
        <v>Normal Discount</v>
      </c>
      <c r="Q412" s="1" t="str" cm="1">
        <f t="array" ref="Q412">_xlfn.IFS(O412&gt;7000,"Exellent Sale",O412&gt;4000,"Good Sale",O412&lt;4000,"Average Sale")</f>
        <v>Good Sale</v>
      </c>
      <c r="R412" s="1" t="str">
        <f t="shared" si="13"/>
        <v>Normal Order</v>
      </c>
    </row>
    <row r="413" spans="1:18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4">
        <v>8409.6299999999992</v>
      </c>
      <c r="P413" s="1" t="str">
        <f t="shared" si="12"/>
        <v>Havy Discount</v>
      </c>
      <c r="Q413" s="1" t="str" cm="1">
        <f t="array" ref="Q413">_xlfn.IFS(O413&gt;7000,"Exellent Sale",O413&gt;4000,"Good Sale",O413&lt;4000,"Average Sale")</f>
        <v>Exellent Sale</v>
      </c>
      <c r="R413" s="1" t="str">
        <f t="shared" si="13"/>
        <v>Priority Order</v>
      </c>
    </row>
    <row r="414" spans="1:18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4">
        <v>10380.719999999999</v>
      </c>
      <c r="P414" s="1" t="str">
        <f t="shared" si="12"/>
        <v>Normal Discount</v>
      </c>
      <c r="Q414" s="1" t="str" cm="1">
        <f t="array" ref="Q414">_xlfn.IFS(O414&gt;7000,"Exellent Sale",O414&gt;4000,"Good Sale",O414&lt;4000,"Average Sale")</f>
        <v>Exellent Sale</v>
      </c>
      <c r="R414" s="1" t="str">
        <f t="shared" si="13"/>
        <v>Priority Order</v>
      </c>
    </row>
    <row r="415" spans="1:18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4">
        <v>1158.71</v>
      </c>
      <c r="P415" s="1" t="str">
        <f t="shared" si="12"/>
        <v>Normal Discount</v>
      </c>
      <c r="Q415" s="1" t="str" cm="1">
        <f t="array" ref="Q415">_xlfn.IFS(O415&gt;7000,"Exellent Sale",O415&gt;4000,"Good Sale",O415&lt;4000,"Average Sale")</f>
        <v>Average Sale</v>
      </c>
      <c r="R415" s="1" t="str">
        <f t="shared" si="13"/>
        <v>Normal Order</v>
      </c>
    </row>
    <row r="416" spans="1:18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4">
        <v>4992.51</v>
      </c>
      <c r="P416" s="1" t="str">
        <f t="shared" si="12"/>
        <v>Havy Discount</v>
      </c>
      <c r="Q416" s="1" t="str" cm="1">
        <f t="array" ref="Q416">_xlfn.IFS(O416&gt;7000,"Exellent Sale",O416&gt;4000,"Good Sale",O416&lt;4000,"Average Sale")</f>
        <v>Good Sale</v>
      </c>
      <c r="R416" s="1" t="str">
        <f t="shared" si="13"/>
        <v>Normal Order</v>
      </c>
    </row>
    <row r="417" spans="1:18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4">
        <v>21278.560000000001</v>
      </c>
      <c r="P417" s="1" t="str">
        <f t="shared" si="12"/>
        <v>Normal Discount</v>
      </c>
      <c r="Q417" s="1" t="str" cm="1">
        <f t="array" ref="Q417">_xlfn.IFS(O417&gt;7000,"Exellent Sale",O417&gt;4000,"Good Sale",O417&lt;4000,"Average Sale")</f>
        <v>Exellent Sale</v>
      </c>
      <c r="R417" s="1" t="str">
        <f t="shared" si="13"/>
        <v>Priority Order</v>
      </c>
    </row>
    <row r="418" spans="1:18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4">
        <v>3354.81</v>
      </c>
      <c r="P418" s="1" t="str">
        <f t="shared" si="12"/>
        <v>Normal Discount</v>
      </c>
      <c r="Q418" s="1" t="str" cm="1">
        <f t="array" ref="Q418">_xlfn.IFS(O418&gt;7000,"Exellent Sale",O418&gt;4000,"Good Sale",O418&lt;4000,"Average Sale")</f>
        <v>Average Sale</v>
      </c>
      <c r="R418" s="1" t="str">
        <f t="shared" si="13"/>
        <v>Normal Order</v>
      </c>
    </row>
    <row r="419" spans="1:18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4">
        <v>28120.1</v>
      </c>
      <c r="P419" s="1" t="str">
        <f t="shared" si="12"/>
        <v>Normal Discount</v>
      </c>
      <c r="Q419" s="1" t="str" cm="1">
        <f t="array" ref="Q419">_xlfn.IFS(O419&gt;7000,"Exellent Sale",O419&gt;4000,"Good Sale",O419&lt;4000,"Average Sale")</f>
        <v>Exellent Sale</v>
      </c>
      <c r="R419" s="1" t="str">
        <f t="shared" si="13"/>
        <v>Priority Order</v>
      </c>
    </row>
    <row r="420" spans="1:18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4">
        <v>15014.03</v>
      </c>
      <c r="P420" s="1" t="str">
        <f t="shared" si="12"/>
        <v>Normal Discount</v>
      </c>
      <c r="Q420" s="1" t="str" cm="1">
        <f t="array" ref="Q420">_xlfn.IFS(O420&gt;7000,"Exellent Sale",O420&gt;4000,"Good Sale",O420&lt;4000,"Average Sale")</f>
        <v>Exellent Sale</v>
      </c>
      <c r="R420" s="1" t="str">
        <f t="shared" si="13"/>
        <v>Priority Order</v>
      </c>
    </row>
    <row r="421" spans="1:18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4">
        <v>732.19</v>
      </c>
      <c r="P421" s="1" t="str">
        <f t="shared" si="12"/>
        <v>Normal Discount</v>
      </c>
      <c r="Q421" s="1" t="str" cm="1">
        <f t="array" ref="Q421">_xlfn.IFS(O421&gt;7000,"Exellent Sale",O421&gt;4000,"Good Sale",O421&lt;4000,"Average Sale")</f>
        <v>Average Sale</v>
      </c>
      <c r="R421" s="1" t="str">
        <f t="shared" si="13"/>
        <v>Normal Order</v>
      </c>
    </row>
    <row r="422" spans="1:18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4">
        <v>1273.6099999999999</v>
      </c>
      <c r="P422" s="1" t="str">
        <f t="shared" si="12"/>
        <v>Normal Discount</v>
      </c>
      <c r="Q422" s="1" t="str" cm="1">
        <f t="array" ref="Q422">_xlfn.IFS(O422&gt;7000,"Exellent Sale",O422&gt;4000,"Good Sale",O422&lt;4000,"Average Sale")</f>
        <v>Average Sale</v>
      </c>
      <c r="R422" s="1" t="str">
        <f t="shared" si="13"/>
        <v>Normal Order</v>
      </c>
    </row>
    <row r="423" spans="1:18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4">
        <v>6570.38</v>
      </c>
      <c r="P423" s="1" t="str">
        <f t="shared" si="12"/>
        <v>Havy Discount</v>
      </c>
      <c r="Q423" s="1" t="str" cm="1">
        <f t="array" ref="Q423">_xlfn.IFS(O423&gt;7000,"Exellent Sale",O423&gt;4000,"Good Sale",O423&lt;4000,"Average Sale")</f>
        <v>Good Sale</v>
      </c>
      <c r="R423" s="1" t="str">
        <f t="shared" si="13"/>
        <v>Normal Order</v>
      </c>
    </row>
    <row r="424" spans="1:18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4">
        <v>30296.43</v>
      </c>
      <c r="P424" s="1" t="str">
        <f t="shared" si="12"/>
        <v>Normal Discount</v>
      </c>
      <c r="Q424" s="1" t="str" cm="1">
        <f t="array" ref="Q424">_xlfn.IFS(O424&gt;7000,"Exellent Sale",O424&gt;4000,"Good Sale",O424&lt;4000,"Average Sale")</f>
        <v>Exellent Sale</v>
      </c>
      <c r="R424" s="1" t="str">
        <f t="shared" si="13"/>
        <v>Priority Order</v>
      </c>
    </row>
    <row r="425" spans="1:18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4">
        <v>15583.46</v>
      </c>
      <c r="P425" s="1" t="str">
        <f t="shared" si="12"/>
        <v>Normal Discount</v>
      </c>
      <c r="Q425" s="1" t="str" cm="1">
        <f t="array" ref="Q425">_xlfn.IFS(O425&gt;7000,"Exellent Sale",O425&gt;4000,"Good Sale",O425&lt;4000,"Average Sale")</f>
        <v>Exellent Sale</v>
      </c>
      <c r="R425" s="1" t="str">
        <f t="shared" si="13"/>
        <v>Priority Order</v>
      </c>
    </row>
    <row r="426" spans="1:18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4">
        <v>7656.83</v>
      </c>
      <c r="P426" s="1" t="str">
        <f t="shared" si="12"/>
        <v>Havy Discount</v>
      </c>
      <c r="Q426" s="1" t="str" cm="1">
        <f t="array" ref="Q426">_xlfn.IFS(O426&gt;7000,"Exellent Sale",O426&gt;4000,"Good Sale",O426&lt;4000,"Average Sale")</f>
        <v>Exellent Sale</v>
      </c>
      <c r="R426" s="1" t="str">
        <f t="shared" si="13"/>
        <v>Priority Order</v>
      </c>
    </row>
    <row r="427" spans="1:18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4">
        <v>10626.78</v>
      </c>
      <c r="P427" s="1" t="str">
        <f t="shared" si="12"/>
        <v>Normal Discount</v>
      </c>
      <c r="Q427" s="1" t="str" cm="1">
        <f t="array" ref="Q427">_xlfn.IFS(O427&gt;7000,"Exellent Sale",O427&gt;4000,"Good Sale",O427&lt;4000,"Average Sale")</f>
        <v>Exellent Sale</v>
      </c>
      <c r="R427" s="1" t="str">
        <f t="shared" si="13"/>
        <v>Priority Order</v>
      </c>
    </row>
    <row r="428" spans="1:18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4">
        <v>20986.74</v>
      </c>
      <c r="P428" s="1" t="str">
        <f t="shared" si="12"/>
        <v>Normal Discount</v>
      </c>
      <c r="Q428" s="1" t="str" cm="1">
        <f t="array" ref="Q428">_xlfn.IFS(O428&gt;7000,"Exellent Sale",O428&gt;4000,"Good Sale",O428&lt;4000,"Average Sale")</f>
        <v>Exellent Sale</v>
      </c>
      <c r="R428" s="1" t="str">
        <f t="shared" si="13"/>
        <v>Priority Order</v>
      </c>
    </row>
    <row r="429" spans="1:18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4">
        <v>4262.18</v>
      </c>
      <c r="P429" s="1" t="str">
        <f t="shared" si="12"/>
        <v>Havy Discount</v>
      </c>
      <c r="Q429" s="1" t="str" cm="1">
        <f t="array" ref="Q429">_xlfn.IFS(O429&gt;7000,"Exellent Sale",O429&gt;4000,"Good Sale",O429&lt;4000,"Average Sale")</f>
        <v>Good Sale</v>
      </c>
      <c r="R429" s="1" t="str">
        <f t="shared" si="13"/>
        <v>Normal Order</v>
      </c>
    </row>
    <row r="430" spans="1:18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4">
        <v>2004.99</v>
      </c>
      <c r="P430" s="1" t="str">
        <f t="shared" si="12"/>
        <v>Normal Discount</v>
      </c>
      <c r="Q430" s="1" t="str" cm="1">
        <f t="array" ref="Q430">_xlfn.IFS(O430&gt;7000,"Exellent Sale",O430&gt;4000,"Good Sale",O430&lt;4000,"Average Sale")</f>
        <v>Average Sale</v>
      </c>
      <c r="R430" s="1" t="str">
        <f t="shared" si="13"/>
        <v>Normal Order</v>
      </c>
    </row>
    <row r="431" spans="1:18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4">
        <v>28163.3</v>
      </c>
      <c r="P431" s="1" t="str">
        <f t="shared" si="12"/>
        <v>Normal Discount</v>
      </c>
      <c r="Q431" s="1" t="str" cm="1">
        <f t="array" ref="Q431">_xlfn.IFS(O431&gt;7000,"Exellent Sale",O431&gt;4000,"Good Sale",O431&lt;4000,"Average Sale")</f>
        <v>Exellent Sale</v>
      </c>
      <c r="R431" s="1" t="str">
        <f t="shared" si="13"/>
        <v>Priority Order</v>
      </c>
    </row>
    <row r="432" spans="1:18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4">
        <v>11461.59</v>
      </c>
      <c r="P432" s="1" t="str">
        <f t="shared" si="12"/>
        <v>Havy Discount</v>
      </c>
      <c r="Q432" s="1" t="str" cm="1">
        <f t="array" ref="Q432">_xlfn.IFS(O432&gt;7000,"Exellent Sale",O432&gt;4000,"Good Sale",O432&lt;4000,"Average Sale")</f>
        <v>Exellent Sale</v>
      </c>
      <c r="R432" s="1" t="str">
        <f t="shared" si="13"/>
        <v>Priority Order</v>
      </c>
    </row>
    <row r="433" spans="1:18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4">
        <v>5446.44</v>
      </c>
      <c r="P433" s="1" t="str">
        <f t="shared" si="12"/>
        <v>Normal Discount</v>
      </c>
      <c r="Q433" s="1" t="str" cm="1">
        <f t="array" ref="Q433">_xlfn.IFS(O433&gt;7000,"Exellent Sale",O433&gt;4000,"Good Sale",O433&lt;4000,"Average Sale")</f>
        <v>Good Sale</v>
      </c>
      <c r="R433" s="1" t="str">
        <f t="shared" si="13"/>
        <v>Normal Order</v>
      </c>
    </row>
    <row r="434" spans="1:18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4">
        <v>14362</v>
      </c>
      <c r="P434" s="1" t="str">
        <f t="shared" si="12"/>
        <v>Normal Discount</v>
      </c>
      <c r="Q434" s="1" t="str" cm="1">
        <f t="array" ref="Q434">_xlfn.IFS(O434&gt;7000,"Exellent Sale",O434&gt;4000,"Good Sale",O434&lt;4000,"Average Sale")</f>
        <v>Exellent Sale</v>
      </c>
      <c r="R434" s="1" t="str">
        <f t="shared" si="13"/>
        <v>Normal Order</v>
      </c>
    </row>
    <row r="435" spans="1:18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4">
        <v>2799.1</v>
      </c>
      <c r="P435" s="1" t="str">
        <f t="shared" si="12"/>
        <v>Havy Discount</v>
      </c>
      <c r="Q435" s="1" t="str" cm="1">
        <f t="array" ref="Q435">_xlfn.IFS(O435&gt;7000,"Exellent Sale",O435&gt;4000,"Good Sale",O435&lt;4000,"Average Sale")</f>
        <v>Average Sale</v>
      </c>
      <c r="R435" s="1" t="str">
        <f t="shared" si="13"/>
        <v>Normal Order</v>
      </c>
    </row>
    <row r="436" spans="1:18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4">
        <v>10934.34</v>
      </c>
      <c r="P436" s="1" t="str">
        <f t="shared" si="12"/>
        <v>Normal Discount</v>
      </c>
      <c r="Q436" s="1" t="str" cm="1">
        <f t="array" ref="Q436">_xlfn.IFS(O436&gt;7000,"Exellent Sale",O436&gt;4000,"Good Sale",O436&lt;4000,"Average Sale")</f>
        <v>Exellent Sale</v>
      </c>
      <c r="R436" s="1" t="str">
        <f t="shared" si="13"/>
        <v>Normal Order</v>
      </c>
    </row>
    <row r="437" spans="1:18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4">
        <v>9568.27</v>
      </c>
      <c r="P437" s="1" t="str">
        <f t="shared" si="12"/>
        <v>Havy Discount</v>
      </c>
      <c r="Q437" s="1" t="str" cm="1">
        <f t="array" ref="Q437">_xlfn.IFS(O437&gt;7000,"Exellent Sale",O437&gt;4000,"Good Sale",O437&lt;4000,"Average Sale")</f>
        <v>Exellent Sale</v>
      </c>
      <c r="R437" s="1" t="str">
        <f t="shared" si="13"/>
        <v>Normal Order</v>
      </c>
    </row>
    <row r="438" spans="1:18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4">
        <v>19357.29</v>
      </c>
      <c r="P438" s="1" t="str">
        <f t="shared" si="12"/>
        <v>Havy Discount</v>
      </c>
      <c r="Q438" s="1" t="str" cm="1">
        <f t="array" ref="Q438">_xlfn.IFS(O438&gt;7000,"Exellent Sale",O438&gt;4000,"Good Sale",O438&lt;4000,"Average Sale")</f>
        <v>Exellent Sale</v>
      </c>
      <c r="R438" s="1" t="str">
        <f t="shared" si="13"/>
        <v>Priority Order</v>
      </c>
    </row>
    <row r="439" spans="1:18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4">
        <v>14022.99</v>
      </c>
      <c r="P439" s="1" t="str">
        <f t="shared" si="12"/>
        <v>Normal Discount</v>
      </c>
      <c r="Q439" s="1" t="str" cm="1">
        <f t="array" ref="Q439">_xlfn.IFS(O439&gt;7000,"Exellent Sale",O439&gt;4000,"Good Sale",O439&lt;4000,"Average Sale")</f>
        <v>Exellent Sale</v>
      </c>
      <c r="R439" s="1" t="str">
        <f t="shared" si="13"/>
        <v>Normal Order</v>
      </c>
    </row>
    <row r="440" spans="1:18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4">
        <v>3911.27</v>
      </c>
      <c r="P440" s="1" t="str">
        <f t="shared" si="12"/>
        <v>Normal Discount</v>
      </c>
      <c r="Q440" s="1" t="str" cm="1">
        <f t="array" ref="Q440">_xlfn.IFS(O440&gt;7000,"Exellent Sale",O440&gt;4000,"Good Sale",O440&lt;4000,"Average Sale")</f>
        <v>Average Sale</v>
      </c>
      <c r="R440" s="1" t="str">
        <f t="shared" si="13"/>
        <v>Normal Order</v>
      </c>
    </row>
    <row r="441" spans="1:18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4">
        <v>3397.56</v>
      </c>
      <c r="P441" s="1" t="str">
        <f t="shared" si="12"/>
        <v>Normal Discount</v>
      </c>
      <c r="Q441" s="1" t="str" cm="1">
        <f t="array" ref="Q441">_xlfn.IFS(O441&gt;7000,"Exellent Sale",O441&gt;4000,"Good Sale",O441&lt;4000,"Average Sale")</f>
        <v>Average Sale</v>
      </c>
      <c r="R441" s="1" t="str">
        <f t="shared" si="13"/>
        <v>Normal Order</v>
      </c>
    </row>
    <row r="442" spans="1:18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4">
        <v>5254.56</v>
      </c>
      <c r="P442" s="1" t="str">
        <f t="shared" si="12"/>
        <v>Havy Discount</v>
      </c>
      <c r="Q442" s="1" t="str" cm="1">
        <f t="array" ref="Q442">_xlfn.IFS(O442&gt;7000,"Exellent Sale",O442&gt;4000,"Good Sale",O442&lt;4000,"Average Sale")</f>
        <v>Good Sale</v>
      </c>
      <c r="R442" s="1" t="str">
        <f t="shared" si="13"/>
        <v>Normal Order</v>
      </c>
    </row>
    <row r="443" spans="1:18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4">
        <v>24054.57</v>
      </c>
      <c r="P443" s="1" t="str">
        <f t="shared" si="12"/>
        <v>Normal Discount</v>
      </c>
      <c r="Q443" s="1" t="str" cm="1">
        <f t="array" ref="Q443">_xlfn.IFS(O443&gt;7000,"Exellent Sale",O443&gt;4000,"Good Sale",O443&lt;4000,"Average Sale")</f>
        <v>Exellent Sale</v>
      </c>
      <c r="R443" s="1" t="str">
        <f t="shared" si="13"/>
        <v>Priority Order</v>
      </c>
    </row>
    <row r="444" spans="1:18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4">
        <v>18539.05</v>
      </c>
      <c r="P444" s="1" t="str">
        <f t="shared" si="12"/>
        <v>Normal Discount</v>
      </c>
      <c r="Q444" s="1" t="str" cm="1">
        <f t="array" ref="Q444">_xlfn.IFS(O444&gt;7000,"Exellent Sale",O444&gt;4000,"Good Sale",O444&lt;4000,"Average Sale")</f>
        <v>Exellent Sale</v>
      </c>
      <c r="R444" s="1" t="str">
        <f t="shared" si="13"/>
        <v>Normal Order</v>
      </c>
    </row>
    <row r="445" spans="1:18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4">
        <v>7027.99</v>
      </c>
      <c r="P445" s="1" t="str">
        <f t="shared" si="12"/>
        <v>Normal Discount</v>
      </c>
      <c r="Q445" s="1" t="str" cm="1">
        <f t="array" ref="Q445">_xlfn.IFS(O445&gt;7000,"Exellent Sale",O445&gt;4000,"Good Sale",O445&lt;4000,"Average Sale")</f>
        <v>Exellent Sale</v>
      </c>
      <c r="R445" s="1" t="str">
        <f t="shared" si="13"/>
        <v>Normal Order</v>
      </c>
    </row>
    <row r="446" spans="1:18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4">
        <v>19979.150000000001</v>
      </c>
      <c r="P446" s="1" t="str">
        <f t="shared" si="12"/>
        <v>Havy Discount</v>
      </c>
      <c r="Q446" s="1" t="str" cm="1">
        <f t="array" ref="Q446">_xlfn.IFS(O446&gt;7000,"Exellent Sale",O446&gt;4000,"Good Sale",O446&lt;4000,"Average Sale")</f>
        <v>Exellent Sale</v>
      </c>
      <c r="R446" s="1" t="str">
        <f t="shared" si="13"/>
        <v>Priority Order</v>
      </c>
    </row>
    <row r="447" spans="1:18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4">
        <v>2633.24</v>
      </c>
      <c r="P447" s="1" t="str">
        <f t="shared" si="12"/>
        <v>Normal Discount</v>
      </c>
      <c r="Q447" s="1" t="str" cm="1">
        <f t="array" ref="Q447">_xlfn.IFS(O447&gt;7000,"Exellent Sale",O447&gt;4000,"Good Sale",O447&lt;4000,"Average Sale")</f>
        <v>Average Sale</v>
      </c>
      <c r="R447" s="1" t="str">
        <f t="shared" si="13"/>
        <v>Normal Order</v>
      </c>
    </row>
    <row r="448" spans="1:18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4">
        <v>13936.36</v>
      </c>
      <c r="P448" s="1" t="str">
        <f t="shared" si="12"/>
        <v>Normal Discount</v>
      </c>
      <c r="Q448" s="1" t="str" cm="1">
        <f t="array" ref="Q448">_xlfn.IFS(O448&gt;7000,"Exellent Sale",O448&gt;4000,"Good Sale",O448&lt;4000,"Average Sale")</f>
        <v>Exellent Sale</v>
      </c>
      <c r="R448" s="1" t="str">
        <f t="shared" si="13"/>
        <v>Normal Order</v>
      </c>
    </row>
    <row r="449" spans="1:18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4">
        <v>16180.04</v>
      </c>
      <c r="P449" s="1" t="str">
        <f t="shared" si="12"/>
        <v>Normal Discount</v>
      </c>
      <c r="Q449" s="1" t="str" cm="1">
        <f t="array" ref="Q449">_xlfn.IFS(O449&gt;7000,"Exellent Sale",O449&gt;4000,"Good Sale",O449&lt;4000,"Average Sale")</f>
        <v>Exellent Sale</v>
      </c>
      <c r="R449" s="1" t="str">
        <f t="shared" si="13"/>
        <v>Priority Order</v>
      </c>
    </row>
    <row r="450" spans="1:18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4">
        <v>14185.29</v>
      </c>
      <c r="P450" s="1" t="str">
        <f t="shared" si="12"/>
        <v>Normal Discount</v>
      </c>
      <c r="Q450" s="1" t="str" cm="1">
        <f t="array" ref="Q450">_xlfn.IFS(O450&gt;7000,"Exellent Sale",O450&gt;4000,"Good Sale",O450&lt;4000,"Average Sale")</f>
        <v>Exellent Sale</v>
      </c>
      <c r="R450" s="1" t="str">
        <f t="shared" si="13"/>
        <v>Normal Order</v>
      </c>
    </row>
    <row r="451" spans="1:18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4">
        <v>15416.8</v>
      </c>
      <c r="P451" s="1" t="str">
        <f t="shared" ref="P451:P501" si="14">IF(N451&gt;10,"Havy Discount","Normal Discount")</f>
        <v>Havy Discount</v>
      </c>
      <c r="Q451" s="1" t="str" cm="1">
        <f t="array" ref="Q451">_xlfn.IFS(O451&gt;7000,"Exellent Sale",O451&gt;4000,"Good Sale",O451&lt;4000,"Average Sale")</f>
        <v>Exellent Sale</v>
      </c>
      <c r="R451" s="1" t="str">
        <f t="shared" ref="R451:R501" si="15">IF(AND(O451&gt;7000,L451&gt;5),"Priority Order","Normal Order")</f>
        <v>Priority Order</v>
      </c>
    </row>
    <row r="452" spans="1:18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4">
        <v>9330.09</v>
      </c>
      <c r="P452" s="1" t="str">
        <f t="shared" si="14"/>
        <v>Normal Discount</v>
      </c>
      <c r="Q452" s="1" t="str" cm="1">
        <f t="array" ref="Q452">_xlfn.IFS(O452&gt;7000,"Exellent Sale",O452&gt;4000,"Good Sale",O452&lt;4000,"Average Sale")</f>
        <v>Exellent Sale</v>
      </c>
      <c r="R452" s="1" t="str">
        <f t="shared" si="15"/>
        <v>Priority Order</v>
      </c>
    </row>
    <row r="453" spans="1:18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4">
        <v>1495.86</v>
      </c>
      <c r="P453" s="1" t="str">
        <f t="shared" si="14"/>
        <v>Normal Discount</v>
      </c>
      <c r="Q453" s="1" t="str" cm="1">
        <f t="array" ref="Q453">_xlfn.IFS(O453&gt;7000,"Exellent Sale",O453&gt;4000,"Good Sale",O453&lt;4000,"Average Sale")</f>
        <v>Average Sale</v>
      </c>
      <c r="R453" s="1" t="str">
        <f t="shared" si="15"/>
        <v>Normal Order</v>
      </c>
    </row>
    <row r="454" spans="1:18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4">
        <v>11573.53</v>
      </c>
      <c r="P454" s="1" t="str">
        <f t="shared" si="14"/>
        <v>Havy Discount</v>
      </c>
      <c r="Q454" s="1" t="str" cm="1">
        <f t="array" ref="Q454">_xlfn.IFS(O454&gt;7000,"Exellent Sale",O454&gt;4000,"Good Sale",O454&lt;4000,"Average Sale")</f>
        <v>Exellent Sale</v>
      </c>
      <c r="R454" s="1" t="str">
        <f t="shared" si="15"/>
        <v>Priority Order</v>
      </c>
    </row>
    <row r="455" spans="1:18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4">
        <v>22979.23</v>
      </c>
      <c r="P455" s="1" t="str">
        <f t="shared" si="14"/>
        <v>Havy Discount</v>
      </c>
      <c r="Q455" s="1" t="str" cm="1">
        <f t="array" ref="Q455">_xlfn.IFS(O455&gt;7000,"Exellent Sale",O455&gt;4000,"Good Sale",O455&lt;4000,"Average Sale")</f>
        <v>Exellent Sale</v>
      </c>
      <c r="R455" s="1" t="str">
        <f t="shared" si="15"/>
        <v>Priority Order</v>
      </c>
    </row>
    <row r="456" spans="1:18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4">
        <v>2748.46</v>
      </c>
      <c r="P456" s="1" t="str">
        <f t="shared" si="14"/>
        <v>Normal Discount</v>
      </c>
      <c r="Q456" s="1" t="str" cm="1">
        <f t="array" ref="Q456">_xlfn.IFS(O456&gt;7000,"Exellent Sale",O456&gt;4000,"Good Sale",O456&lt;4000,"Average Sale")</f>
        <v>Average Sale</v>
      </c>
      <c r="R456" s="1" t="str">
        <f t="shared" si="15"/>
        <v>Normal Order</v>
      </c>
    </row>
    <row r="457" spans="1:18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4">
        <v>6431.29</v>
      </c>
      <c r="P457" s="1" t="str">
        <f t="shared" si="14"/>
        <v>Normal Discount</v>
      </c>
      <c r="Q457" s="1" t="str" cm="1">
        <f t="array" ref="Q457">_xlfn.IFS(O457&gt;7000,"Exellent Sale",O457&gt;4000,"Good Sale",O457&lt;4000,"Average Sale")</f>
        <v>Good Sale</v>
      </c>
      <c r="R457" s="1" t="str">
        <f t="shared" si="15"/>
        <v>Normal Order</v>
      </c>
    </row>
    <row r="458" spans="1:18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4">
        <v>7403.3</v>
      </c>
      <c r="P458" s="1" t="str">
        <f t="shared" si="14"/>
        <v>Normal Discount</v>
      </c>
      <c r="Q458" s="1" t="str" cm="1">
        <f t="array" ref="Q458">_xlfn.IFS(O458&gt;7000,"Exellent Sale",O458&gt;4000,"Good Sale",O458&lt;4000,"Average Sale")</f>
        <v>Exellent Sale</v>
      </c>
      <c r="R458" s="1" t="str">
        <f t="shared" si="15"/>
        <v>Normal Order</v>
      </c>
    </row>
    <row r="459" spans="1:18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4">
        <v>26654.75</v>
      </c>
      <c r="P459" s="1" t="str">
        <f t="shared" si="14"/>
        <v>Normal Discount</v>
      </c>
      <c r="Q459" s="1" t="str" cm="1">
        <f t="array" ref="Q459">_xlfn.IFS(O459&gt;7000,"Exellent Sale",O459&gt;4000,"Good Sale",O459&lt;4000,"Average Sale")</f>
        <v>Exellent Sale</v>
      </c>
      <c r="R459" s="1" t="str">
        <f t="shared" si="15"/>
        <v>Priority Order</v>
      </c>
    </row>
    <row r="460" spans="1:18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4">
        <v>6230.08</v>
      </c>
      <c r="P460" s="1" t="str">
        <f t="shared" si="14"/>
        <v>Havy Discount</v>
      </c>
      <c r="Q460" s="1" t="str" cm="1">
        <f t="array" ref="Q460">_xlfn.IFS(O460&gt;7000,"Exellent Sale",O460&gt;4000,"Good Sale",O460&lt;4000,"Average Sale")</f>
        <v>Good Sale</v>
      </c>
      <c r="R460" s="1" t="str">
        <f t="shared" si="15"/>
        <v>Normal Order</v>
      </c>
    </row>
    <row r="461" spans="1:18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4">
        <v>400.84</v>
      </c>
      <c r="P461" s="1" t="str">
        <f t="shared" si="14"/>
        <v>Normal Discount</v>
      </c>
      <c r="Q461" s="1" t="str" cm="1">
        <f t="array" ref="Q461">_xlfn.IFS(O461&gt;7000,"Exellent Sale",O461&gt;4000,"Good Sale",O461&lt;4000,"Average Sale")</f>
        <v>Average Sale</v>
      </c>
      <c r="R461" s="1" t="str">
        <f t="shared" si="15"/>
        <v>Normal Order</v>
      </c>
    </row>
    <row r="462" spans="1:18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4">
        <v>2683.62</v>
      </c>
      <c r="P462" s="1" t="str">
        <f t="shared" si="14"/>
        <v>Havy Discount</v>
      </c>
      <c r="Q462" s="1" t="str" cm="1">
        <f t="array" ref="Q462">_xlfn.IFS(O462&gt;7000,"Exellent Sale",O462&gt;4000,"Good Sale",O462&lt;4000,"Average Sale")</f>
        <v>Average Sale</v>
      </c>
      <c r="R462" s="1" t="str">
        <f t="shared" si="15"/>
        <v>Normal Order</v>
      </c>
    </row>
    <row r="463" spans="1:18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4">
        <v>2080.35</v>
      </c>
      <c r="P463" s="1" t="str">
        <f t="shared" si="14"/>
        <v>Normal Discount</v>
      </c>
      <c r="Q463" s="1" t="str" cm="1">
        <f t="array" ref="Q463">_xlfn.IFS(O463&gt;7000,"Exellent Sale",O463&gt;4000,"Good Sale",O463&lt;4000,"Average Sale")</f>
        <v>Average Sale</v>
      </c>
      <c r="R463" s="1" t="str">
        <f t="shared" si="15"/>
        <v>Normal Order</v>
      </c>
    </row>
    <row r="464" spans="1:18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4">
        <v>8807.36</v>
      </c>
      <c r="P464" s="1" t="str">
        <f t="shared" si="14"/>
        <v>Havy Discount</v>
      </c>
      <c r="Q464" s="1" t="str" cm="1">
        <f t="array" ref="Q464">_xlfn.IFS(O464&gt;7000,"Exellent Sale",O464&gt;4000,"Good Sale",O464&lt;4000,"Average Sale")</f>
        <v>Exellent Sale</v>
      </c>
      <c r="R464" s="1" t="str">
        <f t="shared" si="15"/>
        <v>Normal Order</v>
      </c>
    </row>
    <row r="465" spans="1:18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4">
        <v>447.52</v>
      </c>
      <c r="P465" s="1" t="str">
        <f t="shared" si="14"/>
        <v>Havy Discount</v>
      </c>
      <c r="Q465" s="1" t="str" cm="1">
        <f t="array" ref="Q465">_xlfn.IFS(O465&gt;7000,"Exellent Sale",O465&gt;4000,"Good Sale",O465&lt;4000,"Average Sale")</f>
        <v>Average Sale</v>
      </c>
      <c r="R465" s="1" t="str">
        <f t="shared" si="15"/>
        <v>Normal Order</v>
      </c>
    </row>
    <row r="466" spans="1:18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4">
        <v>1886.21</v>
      </c>
      <c r="P466" s="1" t="str">
        <f t="shared" si="14"/>
        <v>Havy Discount</v>
      </c>
      <c r="Q466" s="1" t="str" cm="1">
        <f t="array" ref="Q466">_xlfn.IFS(O466&gt;7000,"Exellent Sale",O466&gt;4000,"Good Sale",O466&lt;4000,"Average Sale")</f>
        <v>Average Sale</v>
      </c>
      <c r="R466" s="1" t="str">
        <f t="shared" si="15"/>
        <v>Normal Order</v>
      </c>
    </row>
    <row r="467" spans="1:18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4">
        <v>22638.240000000002</v>
      </c>
      <c r="P467" s="1" t="str">
        <f t="shared" si="14"/>
        <v>Normal Discount</v>
      </c>
      <c r="Q467" s="1" t="str" cm="1">
        <f t="array" ref="Q467">_xlfn.IFS(O467&gt;7000,"Exellent Sale",O467&gt;4000,"Good Sale",O467&lt;4000,"Average Sale")</f>
        <v>Exellent Sale</v>
      </c>
      <c r="R467" s="1" t="str">
        <f t="shared" si="15"/>
        <v>Priority Order</v>
      </c>
    </row>
    <row r="468" spans="1:18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4">
        <v>11933.05</v>
      </c>
      <c r="P468" s="1" t="str">
        <f t="shared" si="14"/>
        <v>Havy Discount</v>
      </c>
      <c r="Q468" s="1" t="str" cm="1">
        <f t="array" ref="Q468">_xlfn.IFS(O468&gt;7000,"Exellent Sale",O468&gt;4000,"Good Sale",O468&lt;4000,"Average Sale")</f>
        <v>Exellent Sale</v>
      </c>
      <c r="R468" s="1" t="str">
        <f t="shared" si="15"/>
        <v>Normal Order</v>
      </c>
    </row>
    <row r="469" spans="1:18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4">
        <v>14462.55</v>
      </c>
      <c r="P469" s="1" t="str">
        <f t="shared" si="14"/>
        <v>Havy Discount</v>
      </c>
      <c r="Q469" s="1" t="str" cm="1">
        <f t="array" ref="Q469">_xlfn.IFS(O469&gt;7000,"Exellent Sale",O469&gt;4000,"Good Sale",O469&lt;4000,"Average Sale")</f>
        <v>Exellent Sale</v>
      </c>
      <c r="R469" s="1" t="str">
        <f t="shared" si="15"/>
        <v>Priority Order</v>
      </c>
    </row>
    <row r="470" spans="1:18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4">
        <v>18740.41</v>
      </c>
      <c r="P470" s="1" t="str">
        <f t="shared" si="14"/>
        <v>Normal Discount</v>
      </c>
      <c r="Q470" s="1" t="str" cm="1">
        <f t="array" ref="Q470">_xlfn.IFS(O470&gt;7000,"Exellent Sale",O470&gt;4000,"Good Sale",O470&lt;4000,"Average Sale")</f>
        <v>Exellent Sale</v>
      </c>
      <c r="R470" s="1" t="str">
        <f t="shared" si="15"/>
        <v>Normal Order</v>
      </c>
    </row>
    <row r="471" spans="1:18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4">
        <v>1145.47</v>
      </c>
      <c r="P471" s="1" t="str">
        <f t="shared" si="14"/>
        <v>Normal Discount</v>
      </c>
      <c r="Q471" s="1" t="str" cm="1">
        <f t="array" ref="Q471">_xlfn.IFS(O471&gt;7000,"Exellent Sale",O471&gt;4000,"Good Sale",O471&lt;4000,"Average Sale")</f>
        <v>Average Sale</v>
      </c>
      <c r="R471" s="1" t="str">
        <f t="shared" si="15"/>
        <v>Normal Order</v>
      </c>
    </row>
    <row r="472" spans="1:18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4">
        <v>21493.16</v>
      </c>
      <c r="P472" s="1" t="str">
        <f t="shared" si="14"/>
        <v>Normal Discount</v>
      </c>
      <c r="Q472" s="1" t="str" cm="1">
        <f t="array" ref="Q472">_xlfn.IFS(O472&gt;7000,"Exellent Sale",O472&gt;4000,"Good Sale",O472&lt;4000,"Average Sale")</f>
        <v>Exellent Sale</v>
      </c>
      <c r="R472" s="1" t="str">
        <f t="shared" si="15"/>
        <v>Priority Order</v>
      </c>
    </row>
    <row r="473" spans="1:18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4">
        <v>11354.63</v>
      </c>
      <c r="P473" s="1" t="str">
        <f t="shared" si="14"/>
        <v>Normal Discount</v>
      </c>
      <c r="Q473" s="1" t="str" cm="1">
        <f t="array" ref="Q473">_xlfn.IFS(O473&gt;7000,"Exellent Sale",O473&gt;4000,"Good Sale",O473&lt;4000,"Average Sale")</f>
        <v>Exellent Sale</v>
      </c>
      <c r="R473" s="1" t="str">
        <f t="shared" si="15"/>
        <v>Normal Order</v>
      </c>
    </row>
    <row r="474" spans="1:18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4">
        <v>10893.61</v>
      </c>
      <c r="P474" s="1" t="str">
        <f t="shared" si="14"/>
        <v>Normal Discount</v>
      </c>
      <c r="Q474" s="1" t="str" cm="1">
        <f t="array" ref="Q474">_xlfn.IFS(O474&gt;7000,"Exellent Sale",O474&gt;4000,"Good Sale",O474&lt;4000,"Average Sale")</f>
        <v>Exellent Sale</v>
      </c>
      <c r="R474" s="1" t="str">
        <f t="shared" si="15"/>
        <v>Priority Order</v>
      </c>
    </row>
    <row r="475" spans="1:18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4">
        <v>1426.51</v>
      </c>
      <c r="P475" s="1" t="str">
        <f t="shared" si="14"/>
        <v>Havy Discount</v>
      </c>
      <c r="Q475" s="1" t="str" cm="1">
        <f t="array" ref="Q475">_xlfn.IFS(O475&gt;7000,"Exellent Sale",O475&gt;4000,"Good Sale",O475&lt;4000,"Average Sale")</f>
        <v>Average Sale</v>
      </c>
      <c r="R475" s="1" t="str">
        <f t="shared" si="15"/>
        <v>Normal Order</v>
      </c>
    </row>
    <row r="476" spans="1:18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4">
        <v>11990.35</v>
      </c>
      <c r="P476" s="1" t="str">
        <f t="shared" si="14"/>
        <v>Normal Discount</v>
      </c>
      <c r="Q476" s="1" t="str" cm="1">
        <f t="array" ref="Q476">_xlfn.IFS(O476&gt;7000,"Exellent Sale",O476&gt;4000,"Good Sale",O476&lt;4000,"Average Sale")</f>
        <v>Exellent Sale</v>
      </c>
      <c r="R476" s="1" t="str">
        <f t="shared" si="15"/>
        <v>Priority Order</v>
      </c>
    </row>
    <row r="477" spans="1:18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4">
        <v>5592.32</v>
      </c>
      <c r="P477" s="1" t="str">
        <f t="shared" si="14"/>
        <v>Havy Discount</v>
      </c>
      <c r="Q477" s="1" t="str" cm="1">
        <f t="array" ref="Q477">_xlfn.IFS(O477&gt;7000,"Exellent Sale",O477&gt;4000,"Good Sale",O477&lt;4000,"Average Sale")</f>
        <v>Good Sale</v>
      </c>
      <c r="R477" s="1" t="str">
        <f t="shared" si="15"/>
        <v>Normal Order</v>
      </c>
    </row>
    <row r="478" spans="1:18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4">
        <v>5924.8</v>
      </c>
      <c r="P478" s="1" t="str">
        <f t="shared" si="14"/>
        <v>Normal Discount</v>
      </c>
      <c r="Q478" s="1" t="str" cm="1">
        <f t="array" ref="Q478">_xlfn.IFS(O478&gt;7000,"Exellent Sale",O478&gt;4000,"Good Sale",O478&lt;4000,"Average Sale")</f>
        <v>Good Sale</v>
      </c>
      <c r="R478" s="1" t="str">
        <f t="shared" si="15"/>
        <v>Normal Order</v>
      </c>
    </row>
    <row r="479" spans="1:18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4">
        <v>3187.82</v>
      </c>
      <c r="P479" s="1" t="str">
        <f t="shared" si="14"/>
        <v>Normal Discount</v>
      </c>
      <c r="Q479" s="1" t="str" cm="1">
        <f t="array" ref="Q479">_xlfn.IFS(O479&gt;7000,"Exellent Sale",O479&gt;4000,"Good Sale",O479&lt;4000,"Average Sale")</f>
        <v>Average Sale</v>
      </c>
      <c r="R479" s="1" t="str">
        <f t="shared" si="15"/>
        <v>Normal Order</v>
      </c>
    </row>
    <row r="480" spans="1:18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4">
        <v>2186.1799999999998</v>
      </c>
      <c r="P480" s="1" t="str">
        <f t="shared" si="14"/>
        <v>Havy Discount</v>
      </c>
      <c r="Q480" s="1" t="str" cm="1">
        <f t="array" ref="Q480">_xlfn.IFS(O480&gt;7000,"Exellent Sale",O480&gt;4000,"Good Sale",O480&lt;4000,"Average Sale")</f>
        <v>Average Sale</v>
      </c>
      <c r="R480" s="1" t="str">
        <f t="shared" si="15"/>
        <v>Normal Order</v>
      </c>
    </row>
    <row r="481" spans="1:18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4">
        <v>4309.5</v>
      </c>
      <c r="P481" s="1" t="str">
        <f t="shared" si="14"/>
        <v>Havy Discount</v>
      </c>
      <c r="Q481" s="1" t="str" cm="1">
        <f t="array" ref="Q481">_xlfn.IFS(O481&gt;7000,"Exellent Sale",O481&gt;4000,"Good Sale",O481&lt;4000,"Average Sale")</f>
        <v>Good Sale</v>
      </c>
      <c r="R481" s="1" t="str">
        <f t="shared" si="15"/>
        <v>Normal Order</v>
      </c>
    </row>
    <row r="482" spans="1:18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4">
        <v>9284.08</v>
      </c>
      <c r="P482" s="1" t="str">
        <f t="shared" si="14"/>
        <v>Normal Discount</v>
      </c>
      <c r="Q482" s="1" t="str" cm="1">
        <f t="array" ref="Q482">_xlfn.IFS(O482&gt;7000,"Exellent Sale",O482&gt;4000,"Good Sale",O482&lt;4000,"Average Sale")</f>
        <v>Exellent Sale</v>
      </c>
      <c r="R482" s="1" t="str">
        <f t="shared" si="15"/>
        <v>Priority Order</v>
      </c>
    </row>
    <row r="483" spans="1:18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4">
        <v>12164.54</v>
      </c>
      <c r="P483" s="1" t="str">
        <f t="shared" si="14"/>
        <v>Havy Discount</v>
      </c>
      <c r="Q483" s="1" t="str" cm="1">
        <f t="array" ref="Q483">_xlfn.IFS(O483&gt;7000,"Exellent Sale",O483&gt;4000,"Good Sale",O483&lt;4000,"Average Sale")</f>
        <v>Exellent Sale</v>
      </c>
      <c r="R483" s="1" t="str">
        <f t="shared" si="15"/>
        <v>Priority Order</v>
      </c>
    </row>
    <row r="484" spans="1:18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4">
        <v>1734.45</v>
      </c>
      <c r="P484" s="1" t="str">
        <f t="shared" si="14"/>
        <v>Normal Discount</v>
      </c>
      <c r="Q484" s="1" t="str" cm="1">
        <f t="array" ref="Q484">_xlfn.IFS(O484&gt;7000,"Exellent Sale",O484&gt;4000,"Good Sale",O484&lt;4000,"Average Sale")</f>
        <v>Average Sale</v>
      </c>
      <c r="R484" s="1" t="str">
        <f t="shared" si="15"/>
        <v>Normal Order</v>
      </c>
    </row>
    <row r="485" spans="1:18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4">
        <v>26542.62</v>
      </c>
      <c r="P485" s="1" t="str">
        <f t="shared" si="14"/>
        <v>Normal Discount</v>
      </c>
      <c r="Q485" s="1" t="str" cm="1">
        <f t="array" ref="Q485">_xlfn.IFS(O485&gt;7000,"Exellent Sale",O485&gt;4000,"Good Sale",O485&lt;4000,"Average Sale")</f>
        <v>Exellent Sale</v>
      </c>
      <c r="R485" s="1" t="str">
        <f t="shared" si="15"/>
        <v>Priority Order</v>
      </c>
    </row>
    <row r="486" spans="1:18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4">
        <v>2201.23</v>
      </c>
      <c r="P486" s="1" t="str">
        <f t="shared" si="14"/>
        <v>Havy Discount</v>
      </c>
      <c r="Q486" s="1" t="str" cm="1">
        <f t="array" ref="Q486">_xlfn.IFS(O486&gt;7000,"Exellent Sale",O486&gt;4000,"Good Sale",O486&lt;4000,"Average Sale")</f>
        <v>Average Sale</v>
      </c>
      <c r="R486" s="1" t="str">
        <f t="shared" si="15"/>
        <v>Normal Order</v>
      </c>
    </row>
    <row r="487" spans="1:18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4">
        <v>6981.93</v>
      </c>
      <c r="P487" s="1" t="str">
        <f t="shared" si="14"/>
        <v>Normal Discount</v>
      </c>
      <c r="Q487" s="1" t="str" cm="1">
        <f t="array" ref="Q487">_xlfn.IFS(O487&gt;7000,"Exellent Sale",O487&gt;4000,"Good Sale",O487&lt;4000,"Average Sale")</f>
        <v>Good Sale</v>
      </c>
      <c r="R487" s="1" t="str">
        <f t="shared" si="15"/>
        <v>Normal Order</v>
      </c>
    </row>
    <row r="488" spans="1:18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4">
        <v>8803.65</v>
      </c>
      <c r="P488" s="1" t="str">
        <f t="shared" si="14"/>
        <v>Havy Discount</v>
      </c>
      <c r="Q488" s="1" t="str" cm="1">
        <f t="array" ref="Q488">_xlfn.IFS(O488&gt;7000,"Exellent Sale",O488&gt;4000,"Good Sale",O488&lt;4000,"Average Sale")</f>
        <v>Exellent Sale</v>
      </c>
      <c r="R488" s="1" t="str">
        <f t="shared" si="15"/>
        <v>Normal Order</v>
      </c>
    </row>
    <row r="489" spans="1:18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4">
        <v>281.8</v>
      </c>
      <c r="P489" s="1" t="str">
        <f t="shared" si="14"/>
        <v>Normal Discount</v>
      </c>
      <c r="Q489" s="1" t="str" cm="1">
        <f t="array" ref="Q489">_xlfn.IFS(O489&gt;7000,"Exellent Sale",O489&gt;4000,"Good Sale",O489&lt;4000,"Average Sale")</f>
        <v>Average Sale</v>
      </c>
      <c r="R489" s="1" t="str">
        <f t="shared" si="15"/>
        <v>Normal Order</v>
      </c>
    </row>
    <row r="490" spans="1:18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4">
        <v>19280.29</v>
      </c>
      <c r="P490" s="1" t="str">
        <f t="shared" si="14"/>
        <v>Normal Discount</v>
      </c>
      <c r="Q490" s="1" t="str" cm="1">
        <f t="array" ref="Q490">_xlfn.IFS(O490&gt;7000,"Exellent Sale",O490&gt;4000,"Good Sale",O490&lt;4000,"Average Sale")</f>
        <v>Exellent Sale</v>
      </c>
      <c r="R490" s="1" t="str">
        <f t="shared" si="15"/>
        <v>Priority Order</v>
      </c>
    </row>
    <row r="491" spans="1:18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4">
        <v>15893.14</v>
      </c>
      <c r="P491" s="1" t="str">
        <f t="shared" si="14"/>
        <v>Havy Discount</v>
      </c>
      <c r="Q491" s="1" t="str" cm="1">
        <f t="array" ref="Q491">_xlfn.IFS(O491&gt;7000,"Exellent Sale",O491&gt;4000,"Good Sale",O491&lt;4000,"Average Sale")</f>
        <v>Exellent Sale</v>
      </c>
      <c r="R491" s="1" t="str">
        <f t="shared" si="15"/>
        <v>Priority Order</v>
      </c>
    </row>
    <row r="492" spans="1:18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4">
        <v>3909.72</v>
      </c>
      <c r="P492" s="1" t="str">
        <f t="shared" si="14"/>
        <v>Havy Discount</v>
      </c>
      <c r="Q492" s="1" t="str" cm="1">
        <f t="array" ref="Q492">_xlfn.IFS(O492&gt;7000,"Exellent Sale",O492&gt;4000,"Good Sale",O492&lt;4000,"Average Sale")</f>
        <v>Average Sale</v>
      </c>
      <c r="R492" s="1" t="str">
        <f t="shared" si="15"/>
        <v>Normal Order</v>
      </c>
    </row>
    <row r="493" spans="1:18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4">
        <v>1557.8</v>
      </c>
      <c r="P493" s="1" t="str">
        <f t="shared" si="14"/>
        <v>Normal Discount</v>
      </c>
      <c r="Q493" s="1" t="str" cm="1">
        <f t="array" ref="Q493">_xlfn.IFS(O493&gt;7000,"Exellent Sale",O493&gt;4000,"Good Sale",O493&lt;4000,"Average Sale")</f>
        <v>Average Sale</v>
      </c>
      <c r="R493" s="1" t="str">
        <f t="shared" si="15"/>
        <v>Normal Order</v>
      </c>
    </row>
    <row r="494" spans="1:18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4">
        <v>9765.19</v>
      </c>
      <c r="P494" s="1" t="str">
        <f t="shared" si="14"/>
        <v>Normal Discount</v>
      </c>
      <c r="Q494" s="1" t="str" cm="1">
        <f t="array" ref="Q494">_xlfn.IFS(O494&gt;7000,"Exellent Sale",O494&gt;4000,"Good Sale",O494&lt;4000,"Average Sale")</f>
        <v>Exellent Sale</v>
      </c>
      <c r="R494" s="1" t="str">
        <f t="shared" si="15"/>
        <v>Priority Order</v>
      </c>
    </row>
    <row r="495" spans="1:18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4">
        <v>2515.5500000000002</v>
      </c>
      <c r="P495" s="1" t="str">
        <f t="shared" si="14"/>
        <v>Normal Discount</v>
      </c>
      <c r="Q495" s="1" t="str" cm="1">
        <f t="array" ref="Q495">_xlfn.IFS(O495&gt;7000,"Exellent Sale",O495&gt;4000,"Good Sale",O495&lt;4000,"Average Sale")</f>
        <v>Average Sale</v>
      </c>
      <c r="R495" s="1" t="str">
        <f t="shared" si="15"/>
        <v>Normal Order</v>
      </c>
    </row>
    <row r="496" spans="1:18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4">
        <v>4787.5200000000004</v>
      </c>
      <c r="P496" s="1" t="str">
        <f t="shared" si="14"/>
        <v>Normal Discount</v>
      </c>
      <c r="Q496" s="1" t="str" cm="1">
        <f t="array" ref="Q496">_xlfn.IFS(O496&gt;7000,"Exellent Sale",O496&gt;4000,"Good Sale",O496&lt;4000,"Average Sale")</f>
        <v>Good Sale</v>
      </c>
      <c r="R496" s="1" t="str">
        <f t="shared" si="15"/>
        <v>Normal Order</v>
      </c>
    </row>
    <row r="497" spans="1:18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4">
        <v>5418.77</v>
      </c>
      <c r="P497" s="1" t="str">
        <f t="shared" si="14"/>
        <v>Havy Discount</v>
      </c>
      <c r="Q497" s="1" t="str" cm="1">
        <f t="array" ref="Q497">_xlfn.IFS(O497&gt;7000,"Exellent Sale",O497&gt;4000,"Good Sale",O497&lt;4000,"Average Sale")</f>
        <v>Good Sale</v>
      </c>
      <c r="R497" s="1" t="str">
        <f t="shared" si="15"/>
        <v>Normal Order</v>
      </c>
    </row>
    <row r="498" spans="1:18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4">
        <v>6437.75</v>
      </c>
      <c r="P498" s="1" t="str">
        <f t="shared" si="14"/>
        <v>Normal Discount</v>
      </c>
      <c r="Q498" s="1" t="str" cm="1">
        <f t="array" ref="Q498">_xlfn.IFS(O498&gt;7000,"Exellent Sale",O498&gt;4000,"Good Sale",O498&lt;4000,"Average Sale")</f>
        <v>Good Sale</v>
      </c>
      <c r="R498" s="1" t="str">
        <f t="shared" si="15"/>
        <v>Normal Order</v>
      </c>
    </row>
    <row r="499" spans="1:18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4">
        <v>15770.81</v>
      </c>
      <c r="P499" s="1" t="str">
        <f t="shared" si="14"/>
        <v>Havy Discount</v>
      </c>
      <c r="Q499" s="1" t="str" cm="1">
        <f t="array" ref="Q499">_xlfn.IFS(O499&gt;7000,"Exellent Sale",O499&gt;4000,"Good Sale",O499&lt;4000,"Average Sale")</f>
        <v>Exellent Sale</v>
      </c>
      <c r="R499" s="1" t="str">
        <f t="shared" si="15"/>
        <v>Priority Order</v>
      </c>
    </row>
    <row r="500" spans="1:18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4">
        <v>4695.08</v>
      </c>
      <c r="P500" s="1" t="str">
        <f t="shared" si="14"/>
        <v>Havy Discount</v>
      </c>
      <c r="Q500" s="1" t="str" cm="1">
        <f t="array" ref="Q500">_xlfn.IFS(O500&gt;7000,"Exellent Sale",O500&gt;4000,"Good Sale",O500&lt;4000,"Average Sale")</f>
        <v>Good Sale</v>
      </c>
      <c r="R500" s="1" t="str">
        <f t="shared" si="15"/>
        <v>Normal Order</v>
      </c>
    </row>
    <row r="501" spans="1:18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4">
        <v>1945.74</v>
      </c>
      <c r="P501" s="1" t="str">
        <f t="shared" si="14"/>
        <v>Havy Discount</v>
      </c>
      <c r="Q501" s="1" t="str" cm="1">
        <f t="array" ref="Q501">_xlfn.IFS(O501&gt;7000,"Exellent Sale",O501&gt;4000,"Good Sale",O501&lt;4000,"Average Sale")</f>
        <v>Average Sale</v>
      </c>
      <c r="R501" s="1" t="str">
        <f t="shared" si="15"/>
        <v>Normal Order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3FE5-B3C9-4D19-8205-CEFE10F63394}">
  <dimension ref="A1:A11"/>
  <sheetViews>
    <sheetView workbookViewId="0">
      <selection activeCell="A10" sqref="A10"/>
    </sheetView>
  </sheetViews>
  <sheetFormatPr defaultRowHeight="14.4" x14ac:dyDescent="0.3"/>
  <cols>
    <col min="1" max="1" width="137.21875" bestFit="1" customWidth="1"/>
  </cols>
  <sheetData>
    <row r="1" spans="1:1" x14ac:dyDescent="0.3">
      <c r="A1" s="3" t="s">
        <v>70</v>
      </c>
    </row>
    <row r="2" spans="1:1" x14ac:dyDescent="0.3">
      <c r="A2" t="s">
        <v>71</v>
      </c>
    </row>
    <row r="3" spans="1:1" x14ac:dyDescent="0.3">
      <c r="A3" t="s">
        <v>72</v>
      </c>
    </row>
    <row r="4" spans="1:1" x14ac:dyDescent="0.3">
      <c r="A4" t="s">
        <v>75</v>
      </c>
    </row>
    <row r="5" spans="1:1" x14ac:dyDescent="0.3">
      <c r="A5" t="s">
        <v>76</v>
      </c>
    </row>
    <row r="6" spans="1:1" x14ac:dyDescent="0.3">
      <c r="A6" t="s">
        <v>77</v>
      </c>
    </row>
    <row r="7" spans="1:1" x14ac:dyDescent="0.3">
      <c r="A7" t="s">
        <v>78</v>
      </c>
    </row>
    <row r="8" spans="1:1" x14ac:dyDescent="0.3">
      <c r="A8" t="s">
        <v>83</v>
      </c>
    </row>
    <row r="9" spans="1:1" x14ac:dyDescent="0.3">
      <c r="A9" t="s">
        <v>85</v>
      </c>
    </row>
    <row r="10" spans="1:1" x14ac:dyDescent="0.3">
      <c r="A10" t="s">
        <v>86</v>
      </c>
    </row>
    <row r="11" spans="1:1" x14ac:dyDescent="0.3">
      <c r="A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Work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Debraj Paul</cp:lastModifiedBy>
  <dcterms:created xsi:type="dcterms:W3CDTF">2025-11-28T09:29:24Z</dcterms:created>
  <dcterms:modified xsi:type="dcterms:W3CDTF">2026-08-01T11:49:50Z</dcterms:modified>
</cp:coreProperties>
</file>